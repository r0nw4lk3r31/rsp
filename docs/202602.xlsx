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poren-my.sharepoint.com/personal/ronnie_spoelstra_sporen_be/Documents/Documenten/"/>
    </mc:Choice>
  </mc:AlternateContent>
  <xr:revisionPtr revIDLastSave="0" documentId="8_{63694AD0-83A2-4B58-AD7B-C819CCDA7D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JL" sheetId="3" r:id="rId1"/>
    <sheet name="ST3" sheetId="1" r:id="rId2"/>
    <sheet name="KLIMOP" sheetId="2" r:id="rId3"/>
  </sheets>
  <definedNames>
    <definedName name="_xlnm.Print_Area" localSheetId="1">'ST3'!$A$1:$AJ$32</definedName>
    <definedName name="Z_0BC3303A_329D_40D9_85DF_BD43BA3EA599_.wvu.PrintArea" localSheetId="1" hidden="1">'ST3'!$A$1:$X$3</definedName>
    <definedName name="Z_35800BA0_EDA0_11D2_961D_52544C16EF5F_.wvu.PrintArea" localSheetId="1" hidden="1">'ST3'!$A$1:$X$3</definedName>
    <definedName name="Z_39A45727_8990_45B9_814F_4AC899DF18A0_.wvu.PrintArea" localSheetId="1" hidden="1">'ST3'!$A$1:$X$3</definedName>
    <definedName name="Z_4215528C_8293_4CC6_B445_966FE740727C_.wvu.PrintArea" localSheetId="1" hidden="1">'ST3'!$A$1:$X$3</definedName>
    <definedName name="Z_4E1BCABA_455C_4F9D_B9B8_E866F11F31D6_.wvu.PrintArea" localSheetId="1" hidden="1">'ST3'!$A$1:$X$3</definedName>
    <definedName name="Z_6CA16144_D4CF_11D2_B9BE_D753D7629341_.wvu.PrintArea" localSheetId="1" hidden="1">'ST3'!$A$1:$X$3</definedName>
    <definedName name="Z_90FA6A75_3D21_4A0C_B4B9_1F59C964FE85_.wvu.PrintArea" localSheetId="1" hidden="1">'ST3'!$A$1:$X$3</definedName>
    <definedName name="Z_9A72DB26_B0B3_4A66_A632_45F702FFF812_.wvu.PrintArea" localSheetId="1" hidden="1">'ST3'!$A$1:$AJ$40</definedName>
    <definedName name="Z_D76CB30D_4ADE_4FA3_B43C_8B37D3120EA4_.wvu.PrintArea" localSheetId="1" hidden="1">'ST3'!$A$1:$X$3</definedName>
    <definedName name="Z_E411C4C0_1CE3_11D3_B04E_52544C16EF5F_.wvu.PrintArea" localSheetId="1" hidden="1">'ST3'!$A$1:$X$3</definedName>
    <definedName name="Z_F06E5032_145E_4265_B2BD_948E9E7E155C_.wvu.PrintArea" localSheetId="1" hidden="1">'ST3'!$A$1:$X$3</definedName>
  </definedNames>
  <calcPr calcId="191028"/>
  <customWorkbookViews>
    <customWorkbookView name="pijl - Persoonlijke weergave" guid="{0BC3303A-329D-40D9-85DF-BD43BA3EA599}" mergeInterval="0" personalView="1" maximized="1" xWindow="1" yWindow="1" windowWidth="1276" windowHeight="768" activeSheetId="1"/>
    <customWorkbookView name="Stevev - Persoonlijke weergave" guid="{39A45727-8990-45B9-814F-4AC899DF18A0}" mergeInterval="0" personalView="1" maximized="1" xWindow="1" yWindow="1" windowWidth="1152" windowHeight="646" activeSheetId="1"/>
    <customWorkbookView name="De PijL - Persoonlijke weergave" guid="{4E1BCABA-455C-4F9D-B9B8-E866F11F31D6}" mergeInterval="0" personalView="1" maximized="1" windowWidth="942" windowHeight="596" activeSheetId="1"/>
    <customWorkbookView name=". - Persoonlijke weergave" guid="{4215528C-8293-4CC6-B445-966FE740727C}" mergeInterval="0" personalView="1" maximized="1" windowWidth="1276" windowHeight="628" activeSheetId="1"/>
    <customWorkbookView name="Jan De Cooman - Persoonlijke weergave" guid="{E411C4C0-1CE3-11D3-B04E-52544C16EF5F}" mergeInterval="0" personalView="1" maximized="1" windowWidth="1020" windowHeight="606" activeSheetId="1"/>
    <customWorkbookView name="DE COOMAN Jan - Persoonlijke weergave" guid="{6CA16144-D4CF-11D2-B9BE-D753D7629341}" mergeInterval="0" personalView="1" maximized="1" windowWidth="1018" windowHeight="606" activeSheetId="2"/>
    <customWorkbookView name="Jeugdoase VZW - Persoonlijke weergave" guid="{35800BA0-EDA0-11D2-961D-52544C16EF5F}" mergeInterval="0" personalView="1" maximized="1" windowWidth="1018" windowHeight="606" activeSheetId="1"/>
    <customWorkbookView name=" Milo - Persoonlijke weergave" guid="{F06E5032-145E-4265-B2BD-948E9E7E155C}" mergeInterval="0" personalView="1" maximized="1" windowWidth="1020" windowHeight="630" activeSheetId="1"/>
    <customWorkbookView name="Steve - Persoonlijke weergave" guid="{D76CB30D-4ADE-4FA3-B43C-8B37D3120EA4}" mergeInterval="0" personalView="1" maximized="1" windowWidth="1020" windowHeight="618" activeSheetId="1"/>
    <customWorkbookView name="Your User Name - Persoonlijke weergave" guid="{9A72DB26-B0B3-4A66-A632-45F702FFF812}" mergeInterval="0" personalView="1" maximized="1" xWindow="1" yWindow="1" windowWidth="1276" windowHeight="582" activeSheetId="1"/>
    <customWorkbookView name="  - Persoonlijke weergave" guid="{90FA6A75-3D21-4A0C-B4B9-1F59C964FE85}" mergeInterval="0" personalView="1" maximized="1" xWindow="1" yWindow="1" windowWidth="1436" windowHeight="682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I23" i="1" l="1"/>
  <c r="AA22" i="3" l="1"/>
  <c r="AA23" i="3"/>
  <c r="AA24" i="3"/>
  <c r="Z22" i="3"/>
  <c r="I23" i="3" l="1"/>
  <c r="Q4" i="3"/>
  <c r="AH4" i="3"/>
  <c r="AH6" i="3"/>
  <c r="AH8" i="3"/>
  <c r="AH9" i="3"/>
  <c r="AH10" i="3"/>
  <c r="AH11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Q27" i="3"/>
  <c r="AH27" i="3"/>
  <c r="AH28" i="3"/>
  <c r="AH30" i="3"/>
  <c r="AH31" i="3"/>
  <c r="I18" i="3"/>
  <c r="M18" i="3"/>
  <c r="Q18" i="3"/>
  <c r="AD18" i="3" s="1"/>
  <c r="I19" i="3"/>
  <c r="M19" i="3"/>
  <c r="Y19" i="3" s="1"/>
  <c r="Q19" i="3"/>
  <c r="AI19" i="3" s="1"/>
  <c r="I20" i="3"/>
  <c r="M20" i="3"/>
  <c r="Q20" i="3"/>
  <c r="I21" i="3"/>
  <c r="M21" i="3"/>
  <c r="Q21" i="3"/>
  <c r="I22" i="3"/>
  <c r="M22" i="3"/>
  <c r="Y22" i="3" s="1"/>
  <c r="Q22" i="3"/>
  <c r="AI22" i="3" s="1"/>
  <c r="AA5" i="3"/>
  <c r="AB5" i="3"/>
  <c r="AI5" i="3"/>
  <c r="Y6" i="3"/>
  <c r="Q6" i="3"/>
  <c r="Z6" i="3" s="1"/>
  <c r="AA6" i="3"/>
  <c r="AB6" i="3"/>
  <c r="AC6" i="3"/>
  <c r="M6" i="3"/>
  <c r="AD6" i="3" s="1"/>
  <c r="AE6" i="3"/>
  <c r="AG6" i="3"/>
  <c r="AI6" i="3"/>
  <c r="Y7" i="3"/>
  <c r="Z7" i="3"/>
  <c r="Q7" i="3"/>
  <c r="AA7" i="3" s="1"/>
  <c r="AB7" i="3"/>
  <c r="AC7" i="3"/>
  <c r="M7" i="3"/>
  <c r="AE7" i="3"/>
  <c r="AI7" i="3"/>
  <c r="Q8" i="3"/>
  <c r="Z8" i="3"/>
  <c r="AA8" i="3"/>
  <c r="AB8" i="3"/>
  <c r="AC8" i="3"/>
  <c r="AD8" i="3"/>
  <c r="AE8" i="3"/>
  <c r="AG8" i="3"/>
  <c r="AI8" i="3"/>
  <c r="Y9" i="3"/>
  <c r="Z9" i="3"/>
  <c r="AA9" i="3"/>
  <c r="AB9" i="3"/>
  <c r="AC9" i="3"/>
  <c r="AD9" i="3"/>
  <c r="AF9" i="3"/>
  <c r="AG9" i="3"/>
  <c r="Y10" i="3"/>
  <c r="Z10" i="3"/>
  <c r="AA10" i="3"/>
  <c r="AB10" i="3"/>
  <c r="AC10" i="3"/>
  <c r="AD10" i="3"/>
  <c r="AE10" i="3"/>
  <c r="AF10" i="3"/>
  <c r="Q11" i="3"/>
  <c r="AD11" i="3" s="1"/>
  <c r="AE11" i="3"/>
  <c r="AF11" i="3"/>
  <c r="AG11" i="3"/>
  <c r="AI11" i="3"/>
  <c r="AB12" i="3"/>
  <c r="AI12" i="3"/>
  <c r="M13" i="3"/>
  <c r="Y13" i="3" s="1"/>
  <c r="Z13" i="3"/>
  <c r="Q13" i="3"/>
  <c r="AB13" i="3"/>
  <c r="AC13" i="3"/>
  <c r="AD13" i="3"/>
  <c r="AE13" i="3"/>
  <c r="AF13" i="3"/>
  <c r="AI13" i="3"/>
  <c r="Y14" i="3"/>
  <c r="Z14" i="3"/>
  <c r="AA14" i="3"/>
  <c r="AB14" i="3"/>
  <c r="AC14" i="3"/>
  <c r="M14" i="3"/>
  <c r="AD14" i="3" s="1"/>
  <c r="Q14" i="3"/>
  <c r="AE14" i="3" s="1"/>
  <c r="AF14" i="3"/>
  <c r="AI14" i="3"/>
  <c r="Z15" i="3"/>
  <c r="AA15" i="3"/>
  <c r="AB15" i="3"/>
  <c r="AC15" i="3"/>
  <c r="AD15" i="3"/>
  <c r="Q15" i="3"/>
  <c r="AF15" i="3"/>
  <c r="AG15" i="3"/>
  <c r="AI15" i="3"/>
  <c r="Y16" i="3"/>
  <c r="Z16" i="3"/>
  <c r="AA16" i="3"/>
  <c r="AB16" i="3"/>
  <c r="AC16" i="3"/>
  <c r="AD16" i="3"/>
  <c r="AE16" i="3"/>
  <c r="AF16" i="3"/>
  <c r="Y17" i="3"/>
  <c r="Z17" i="3"/>
  <c r="Z35" i="3" s="1"/>
  <c r="AB17" i="3"/>
  <c r="AC17" i="3"/>
  <c r="AD17" i="3"/>
  <c r="AE17" i="3"/>
  <c r="AF17" i="3"/>
  <c r="AG17" i="3"/>
  <c r="Y18" i="3"/>
  <c r="Z18" i="3"/>
  <c r="AA18" i="3"/>
  <c r="AB18" i="3"/>
  <c r="AC18" i="3"/>
  <c r="AE18" i="3"/>
  <c r="AF18" i="3"/>
  <c r="AG18" i="3"/>
  <c r="AI18" i="3"/>
  <c r="Z19" i="3"/>
  <c r="AA19" i="3"/>
  <c r="AB19" i="3"/>
  <c r="AC19" i="3"/>
  <c r="AD19" i="3"/>
  <c r="AE19" i="3"/>
  <c r="AF19" i="3"/>
  <c r="Y20" i="3"/>
  <c r="Z20" i="3"/>
  <c r="AA20" i="3"/>
  <c r="AB20" i="3"/>
  <c r="AC20" i="3"/>
  <c r="AD20" i="3"/>
  <c r="AE20" i="3"/>
  <c r="AF20" i="3"/>
  <c r="AG20" i="3"/>
  <c r="AI20" i="3"/>
  <c r="Y21" i="3"/>
  <c r="Z21" i="3"/>
  <c r="AA21" i="3"/>
  <c r="AB21" i="3"/>
  <c r="AC21" i="3"/>
  <c r="AD21" i="3"/>
  <c r="AE21" i="3"/>
  <c r="AF21" i="3"/>
  <c r="AI21" i="3"/>
  <c r="AB22" i="3"/>
  <c r="AC22" i="3"/>
  <c r="AD22" i="3"/>
  <c r="AE22" i="3"/>
  <c r="AF22" i="3"/>
  <c r="AG22" i="3"/>
  <c r="Y23" i="3"/>
  <c r="Z23" i="3"/>
  <c r="AB23" i="3"/>
  <c r="AC23" i="3"/>
  <c r="AD23" i="3"/>
  <c r="AE23" i="3"/>
  <c r="AG23" i="3"/>
  <c r="Y24" i="3"/>
  <c r="Z24" i="3"/>
  <c r="AB24" i="3"/>
  <c r="AC24" i="3"/>
  <c r="AD24" i="3"/>
  <c r="AE24" i="3"/>
  <c r="AF24" i="3"/>
  <c r="Q25" i="3"/>
  <c r="Y25" i="3" s="1"/>
  <c r="AD25" i="3"/>
  <c r="AE25" i="3"/>
  <c r="AF25" i="3"/>
  <c r="AG25" i="3"/>
  <c r="AI25" i="3"/>
  <c r="Q26" i="3"/>
  <c r="AA26" i="3" s="1"/>
  <c r="AB26" i="3"/>
  <c r="AG26" i="3"/>
  <c r="AI26" i="3"/>
  <c r="M27" i="3"/>
  <c r="Y27" i="3" s="1"/>
  <c r="Z27" i="3"/>
  <c r="AA27" i="3"/>
  <c r="AB27" i="3"/>
  <c r="AC27" i="3"/>
  <c r="AD27" i="3"/>
  <c r="AE27" i="3"/>
  <c r="AF27" i="3"/>
  <c r="AI27" i="3"/>
  <c r="Y28" i="3"/>
  <c r="Z28" i="3"/>
  <c r="AA28" i="3"/>
  <c r="AB28" i="3"/>
  <c r="AC28" i="3"/>
  <c r="Q28" i="3"/>
  <c r="AD28" i="3" s="1"/>
  <c r="M28" i="3"/>
  <c r="AE28" i="3" s="1"/>
  <c r="AF28" i="3"/>
  <c r="AG28" i="3"/>
  <c r="AI28" i="3"/>
  <c r="Y29" i="3"/>
  <c r="Z29" i="3"/>
  <c r="AB29" i="3"/>
  <c r="AC29" i="3"/>
  <c r="AD29" i="3"/>
  <c r="Q29" i="3"/>
  <c r="AE29" i="3" s="1"/>
  <c r="AF29" i="3"/>
  <c r="AG29" i="3"/>
  <c r="AI29" i="3"/>
  <c r="Y30" i="3"/>
  <c r="Z30" i="3"/>
  <c r="AA30" i="3"/>
  <c r="AB30" i="3"/>
  <c r="AC30" i="3"/>
  <c r="AD30" i="3"/>
  <c r="AE30" i="3"/>
  <c r="AF30" i="3"/>
  <c r="Y31" i="3"/>
  <c r="Z31" i="3"/>
  <c r="AA31" i="3"/>
  <c r="AB31" i="3"/>
  <c r="AC31" i="3"/>
  <c r="AD31" i="3"/>
  <c r="AE31" i="3"/>
  <c r="AF31" i="3"/>
  <c r="AG31" i="3"/>
  <c r="Z4" i="3"/>
  <c r="AA4" i="3"/>
  <c r="AB4" i="3"/>
  <c r="M4" i="3"/>
  <c r="AE4" i="3"/>
  <c r="AG4" i="3"/>
  <c r="AI4" i="3"/>
  <c r="Y4" i="3"/>
  <c r="AI32" i="1"/>
  <c r="AI40" i="1" s="1"/>
  <c r="AI34" i="1"/>
  <c r="AI35" i="1"/>
  <c r="AI36" i="1"/>
  <c r="AI37" i="1"/>
  <c r="AI38" i="1"/>
  <c r="Q29" i="1"/>
  <c r="M29" i="1"/>
  <c r="Q28" i="1"/>
  <c r="M28" i="1"/>
  <c r="Q27" i="1"/>
  <c r="M27" i="1"/>
  <c r="Q26" i="1"/>
  <c r="M26" i="1"/>
  <c r="Q25" i="1"/>
  <c r="M25" i="1"/>
  <c r="Q15" i="1"/>
  <c r="M15" i="1"/>
  <c r="Q14" i="1"/>
  <c r="M14" i="1"/>
  <c r="Q13" i="1"/>
  <c r="M13" i="1"/>
  <c r="Q12" i="1"/>
  <c r="M12" i="1"/>
  <c r="Q11" i="1"/>
  <c r="M11" i="1"/>
  <c r="AK2" i="1"/>
  <c r="AC32" i="2"/>
  <c r="AC40" i="2" s="1"/>
  <c r="AI32" i="2"/>
  <c r="AI40" i="2" s="1"/>
  <c r="AI34" i="2"/>
  <c r="AI35" i="2"/>
  <c r="AI36" i="2"/>
  <c r="AI37" i="2"/>
  <c r="AI38" i="2"/>
  <c r="Q31" i="2"/>
  <c r="M31" i="2"/>
  <c r="Q30" i="2"/>
  <c r="M30" i="2"/>
  <c r="Q29" i="2"/>
  <c r="M29" i="2"/>
  <c r="Q28" i="2"/>
  <c r="M28" i="2"/>
  <c r="Q27" i="2"/>
  <c r="M27" i="2"/>
  <c r="Q26" i="2"/>
  <c r="M26" i="2"/>
  <c r="Q25" i="2"/>
  <c r="M25" i="2"/>
  <c r="Q24" i="2"/>
  <c r="M24" i="2"/>
  <c r="Q23" i="2"/>
  <c r="M23" i="2"/>
  <c r="Q22" i="2"/>
  <c r="M22" i="2"/>
  <c r="Q21" i="2"/>
  <c r="M21" i="2"/>
  <c r="Q20" i="2"/>
  <c r="M20" i="2"/>
  <c r="Q19" i="2"/>
  <c r="M19" i="2"/>
  <c r="Q18" i="2"/>
  <c r="M18" i="2"/>
  <c r="Q17" i="2"/>
  <c r="M17" i="2"/>
  <c r="Q16" i="2"/>
  <c r="M16" i="2"/>
  <c r="Q15" i="2"/>
  <c r="M15" i="2"/>
  <c r="Q14" i="2"/>
  <c r="M14" i="2"/>
  <c r="Q13" i="2"/>
  <c r="M13" i="2"/>
  <c r="Q12" i="2"/>
  <c r="M12" i="2"/>
  <c r="Q11" i="2"/>
  <c r="M11" i="2"/>
  <c r="Q10" i="2"/>
  <c r="M10" i="2"/>
  <c r="Q9" i="2"/>
  <c r="M9" i="2"/>
  <c r="Q8" i="2"/>
  <c r="M8" i="2"/>
  <c r="Q7" i="2"/>
  <c r="M7" i="2"/>
  <c r="Q6" i="2"/>
  <c r="M6" i="2"/>
  <c r="Q5" i="2"/>
  <c r="M5" i="2"/>
  <c r="Q4" i="2"/>
  <c r="M4" i="2"/>
  <c r="AI38" i="3"/>
  <c r="AH38" i="3"/>
  <c r="AG38" i="3"/>
  <c r="AF38" i="3"/>
  <c r="AE38" i="3"/>
  <c r="AD38" i="3"/>
  <c r="AC38" i="3"/>
  <c r="AB38" i="3"/>
  <c r="AA38" i="3"/>
  <c r="Z38" i="3"/>
  <c r="Y38" i="3"/>
  <c r="W32" i="3"/>
  <c r="Q31" i="3"/>
  <c r="M31" i="3"/>
  <c r="AI31" i="3" s="1"/>
  <c r="I31" i="3"/>
  <c r="Q30" i="3"/>
  <c r="AI30" i="3" s="1"/>
  <c r="M30" i="3"/>
  <c r="AG30" i="3" s="1"/>
  <c r="I30" i="3"/>
  <c r="M29" i="3"/>
  <c r="AH29" i="3" s="1"/>
  <c r="I29" i="3"/>
  <c r="I28" i="3"/>
  <c r="I27" i="3"/>
  <c r="M26" i="3"/>
  <c r="I26" i="3"/>
  <c r="M25" i="3"/>
  <c r="Q24" i="3"/>
  <c r="AI24" i="3" s="1"/>
  <c r="M24" i="3"/>
  <c r="AG24" i="3" s="1"/>
  <c r="Q23" i="3"/>
  <c r="AI23" i="3" s="1"/>
  <c r="M23" i="3"/>
  <c r="AF23" i="3" s="1"/>
  <c r="Q17" i="3"/>
  <c r="AI17" i="3" s="1"/>
  <c r="M17" i="3"/>
  <c r="AA17" i="3" s="1"/>
  <c r="I17" i="3"/>
  <c r="Q16" i="3"/>
  <c r="AI16" i="3" s="1"/>
  <c r="M16" i="3"/>
  <c r="AG16" i="3" s="1"/>
  <c r="I16" i="3"/>
  <c r="M15" i="3"/>
  <c r="Y15" i="3" s="1"/>
  <c r="I15" i="3"/>
  <c r="I14" i="3"/>
  <c r="I13" i="3"/>
  <c r="Q12" i="3"/>
  <c r="M12" i="3"/>
  <c r="I12" i="3"/>
  <c r="M11" i="3"/>
  <c r="I11" i="3"/>
  <c r="Q10" i="3"/>
  <c r="AI10" i="3" s="1"/>
  <c r="M10" i="3"/>
  <c r="AG10" i="3" s="1"/>
  <c r="I10" i="3"/>
  <c r="Q9" i="3"/>
  <c r="AI9" i="3" s="1"/>
  <c r="M9" i="3"/>
  <c r="AE9" i="3" s="1"/>
  <c r="M8" i="3"/>
  <c r="Y8" i="3" s="1"/>
  <c r="I8" i="3"/>
  <c r="I7" i="3"/>
  <c r="I6" i="3"/>
  <c r="Q5" i="3"/>
  <c r="M5" i="3"/>
  <c r="I5" i="3"/>
  <c r="I4" i="3"/>
  <c r="AJ2" i="3"/>
  <c r="AJ38" i="2"/>
  <c r="AH38" i="2"/>
  <c r="AG38" i="2"/>
  <c r="AF38" i="2"/>
  <c r="AE38" i="2"/>
  <c r="AD38" i="2"/>
  <c r="AC38" i="2"/>
  <c r="AB38" i="2"/>
  <c r="AA38" i="2"/>
  <c r="Z38" i="2"/>
  <c r="Y38" i="2"/>
  <c r="AJ37" i="2"/>
  <c r="AH37" i="2"/>
  <c r="AG37" i="2"/>
  <c r="AF37" i="2"/>
  <c r="AE37" i="2"/>
  <c r="AD37" i="2"/>
  <c r="AC37" i="2"/>
  <c r="AB37" i="2"/>
  <c r="AA37" i="2"/>
  <c r="Z37" i="2"/>
  <c r="Y37" i="2"/>
  <c r="AJ36" i="2"/>
  <c r="AH36" i="2"/>
  <c r="AG36" i="2"/>
  <c r="AF36" i="2"/>
  <c r="AE36" i="2"/>
  <c r="AD36" i="2"/>
  <c r="AC36" i="2"/>
  <c r="AB36" i="2"/>
  <c r="AA36" i="2"/>
  <c r="Z36" i="2"/>
  <c r="Y36" i="2"/>
  <c r="AJ35" i="2"/>
  <c r="AH35" i="2"/>
  <c r="AG35" i="2"/>
  <c r="AF35" i="2"/>
  <c r="AE35" i="2"/>
  <c r="AD35" i="2"/>
  <c r="AC35" i="2"/>
  <c r="AB35" i="2"/>
  <c r="AA35" i="2"/>
  <c r="Z35" i="2"/>
  <c r="Y35" i="2"/>
  <c r="AJ34" i="2"/>
  <c r="AH34" i="2"/>
  <c r="AG34" i="2"/>
  <c r="AF34" i="2"/>
  <c r="AE34" i="2"/>
  <c r="AD34" i="2"/>
  <c r="AC34" i="2"/>
  <c r="AB34" i="2"/>
  <c r="AA34" i="2"/>
  <c r="Z34" i="2"/>
  <c r="Y34" i="2"/>
  <c r="AJ32" i="2"/>
  <c r="AJ40" i="2" s="1"/>
  <c r="AH32" i="2"/>
  <c r="AH40" i="2" s="1"/>
  <c r="AG32" i="2"/>
  <c r="AG40" i="2" s="1"/>
  <c r="AF32" i="2"/>
  <c r="AF40" i="2" s="1"/>
  <c r="AE32" i="2"/>
  <c r="AE40" i="2" s="1"/>
  <c r="AD32" i="2"/>
  <c r="AD40" i="2" s="1"/>
  <c r="AB32" i="2"/>
  <c r="AB40" i="2" s="1"/>
  <c r="AA32" i="2"/>
  <c r="AA40" i="2" s="1"/>
  <c r="Z32" i="2"/>
  <c r="Z40" i="2" s="1"/>
  <c r="Y32" i="2"/>
  <c r="Y40" i="2" s="1"/>
  <c r="W32" i="2"/>
  <c r="I31" i="2"/>
  <c r="I30" i="2"/>
  <c r="I29" i="2"/>
  <c r="I28" i="2"/>
  <c r="I27" i="2"/>
  <c r="I26" i="2"/>
  <c r="I22" i="2"/>
  <c r="I21" i="2"/>
  <c r="I20" i="2"/>
  <c r="I19" i="2"/>
  <c r="I18" i="2"/>
  <c r="I17" i="2"/>
  <c r="I16" i="2"/>
  <c r="I15" i="2"/>
  <c r="I14" i="2"/>
  <c r="I13" i="2"/>
  <c r="I12" i="2"/>
  <c r="I11" i="2"/>
  <c r="AK2" i="2"/>
  <c r="Q8" i="1"/>
  <c r="M8" i="1"/>
  <c r="I8" i="1"/>
  <c r="Q7" i="1"/>
  <c r="M7" i="1"/>
  <c r="I7" i="1"/>
  <c r="Q6" i="1"/>
  <c r="M6" i="1"/>
  <c r="I6" i="1"/>
  <c r="Q5" i="1"/>
  <c r="M5" i="1"/>
  <c r="I5" i="1"/>
  <c r="M4" i="1"/>
  <c r="I4" i="1"/>
  <c r="W32" i="1"/>
  <c r="Z38" i="1"/>
  <c r="AA38" i="1"/>
  <c r="AB38" i="1"/>
  <c r="AC38" i="1"/>
  <c r="AD38" i="1"/>
  <c r="AE38" i="1"/>
  <c r="AF38" i="1"/>
  <c r="AG38" i="1"/>
  <c r="AH38" i="1"/>
  <c r="AJ38" i="1"/>
  <c r="Y38" i="1"/>
  <c r="AD32" i="1"/>
  <c r="AD40" i="1" s="1"/>
  <c r="AD34" i="1"/>
  <c r="AD35" i="1"/>
  <c r="AD36" i="1"/>
  <c r="AD37" i="1"/>
  <c r="AF34" i="1"/>
  <c r="AF35" i="1"/>
  <c r="AF36" i="1"/>
  <c r="AF37" i="1"/>
  <c r="AF32" i="1"/>
  <c r="AF40" i="1" s="1"/>
  <c r="AC32" i="1"/>
  <c r="I21" i="1"/>
  <c r="Q31" i="1"/>
  <c r="M31" i="1"/>
  <c r="Q30" i="1"/>
  <c r="M30" i="1"/>
  <c r="Q10" i="1"/>
  <c r="M10" i="1"/>
  <c r="Q9" i="1"/>
  <c r="M9" i="1"/>
  <c r="Q24" i="1"/>
  <c r="M24" i="1"/>
  <c r="Q23" i="1"/>
  <c r="M23" i="1"/>
  <c r="Q22" i="1"/>
  <c r="M22" i="1"/>
  <c r="Q21" i="1"/>
  <c r="M21" i="1"/>
  <c r="Q20" i="1"/>
  <c r="M20" i="1"/>
  <c r="Q19" i="1"/>
  <c r="M19" i="1"/>
  <c r="Q18" i="1"/>
  <c r="M18" i="1"/>
  <c r="Q17" i="1"/>
  <c r="M17" i="1"/>
  <c r="Q16" i="1"/>
  <c r="M16" i="1"/>
  <c r="I22" i="1"/>
  <c r="I20" i="1"/>
  <c r="I19" i="1"/>
  <c r="I18" i="1"/>
  <c r="AJ37" i="1"/>
  <c r="AH37" i="1"/>
  <c r="AG37" i="1"/>
  <c r="AE37" i="1"/>
  <c r="AC37" i="1"/>
  <c r="AB37" i="1"/>
  <c r="AA37" i="1"/>
  <c r="Z37" i="1"/>
  <c r="Y37" i="1"/>
  <c r="I31" i="1"/>
  <c r="I30" i="1"/>
  <c r="I29" i="1"/>
  <c r="I28" i="1"/>
  <c r="I27" i="1"/>
  <c r="I26" i="1"/>
  <c r="AJ34" i="1"/>
  <c r="AH34" i="1"/>
  <c r="AG34" i="1"/>
  <c r="AE34" i="1"/>
  <c r="AC34" i="1"/>
  <c r="AB34" i="1"/>
  <c r="AA34" i="1"/>
  <c r="Z34" i="1"/>
  <c r="Y34" i="1"/>
  <c r="AJ36" i="1"/>
  <c r="AJ35" i="1"/>
  <c r="AH36" i="1"/>
  <c r="AH35" i="1"/>
  <c r="AG36" i="1"/>
  <c r="AG35" i="1"/>
  <c r="AE36" i="1"/>
  <c r="AE35" i="1"/>
  <c r="AC36" i="1"/>
  <c r="AC35" i="1"/>
  <c r="AB36" i="1"/>
  <c r="AB35" i="1"/>
  <c r="AA36" i="1"/>
  <c r="AA35" i="1"/>
  <c r="Z36" i="1"/>
  <c r="Z35" i="1"/>
  <c r="Y36" i="1"/>
  <c r="Y35" i="1"/>
  <c r="I12" i="1"/>
  <c r="I13" i="1"/>
  <c r="I14" i="1"/>
  <c r="I15" i="1"/>
  <c r="I16" i="1"/>
  <c r="I17" i="1"/>
  <c r="I10" i="1"/>
  <c r="I11" i="1"/>
  <c r="Z32" i="1"/>
  <c r="Z40" i="1" s="1"/>
  <c r="AA32" i="1"/>
  <c r="AA40" i="1" s="1"/>
  <c r="AB32" i="1"/>
  <c r="AE32" i="1"/>
  <c r="AE40" i="1" s="1"/>
  <c r="AG32" i="1"/>
  <c r="AG40" i="1" s="1"/>
  <c r="AH32" i="1"/>
  <c r="AH40" i="1" s="1"/>
  <c r="AJ32" i="1"/>
  <c r="AJ40" i="1" s="1"/>
  <c r="Y32" i="1"/>
  <c r="Y40" i="1" s="1"/>
  <c r="AB40" i="1"/>
  <c r="AC40" i="1"/>
  <c r="AC34" i="3" l="1"/>
  <c r="Z36" i="3"/>
  <c r="AF34" i="3"/>
  <c r="AH35" i="3"/>
  <c r="AH34" i="3"/>
  <c r="AD36" i="3"/>
  <c r="AD34" i="3"/>
  <c r="AB34" i="3"/>
  <c r="AB32" i="3"/>
  <c r="AB40" i="3" s="1"/>
  <c r="Z34" i="3"/>
  <c r="AF37" i="3"/>
  <c r="AD35" i="3"/>
  <c r="AC35" i="3"/>
  <c r="AA36" i="3"/>
  <c r="AB36" i="3"/>
  <c r="AF35" i="3"/>
  <c r="AE35" i="3"/>
  <c r="AA37" i="3"/>
  <c r="Y36" i="3"/>
  <c r="AH37" i="3"/>
  <c r="AB35" i="3"/>
  <c r="AA35" i="3"/>
  <c r="Y34" i="3"/>
  <c r="AG35" i="3"/>
  <c r="AD32" i="3"/>
  <c r="AD40" i="3" s="1"/>
  <c r="Y35" i="3"/>
  <c r="AE34" i="3"/>
  <c r="AI35" i="3"/>
  <c r="AE37" i="3"/>
  <c r="AI34" i="3"/>
  <c r="Z37" i="3"/>
  <c r="AC37" i="3"/>
  <c r="AI37" i="3"/>
  <c r="AG34" i="3"/>
  <c r="AA34" i="3"/>
  <c r="AI36" i="3"/>
  <c r="AG32" i="3"/>
  <c r="AG40" i="3" s="1"/>
  <c r="Y37" i="3"/>
  <c r="AD37" i="3"/>
  <c r="AF32" i="3"/>
  <c r="AF40" i="3" s="1"/>
  <c r="AF36" i="3"/>
  <c r="AG36" i="3"/>
  <c r="AC36" i="3"/>
  <c r="AH36" i="3"/>
  <c r="AI32" i="3"/>
  <c r="AI40" i="3" s="1"/>
  <c r="AB37" i="3"/>
  <c r="AA32" i="3"/>
  <c r="AA40" i="3" s="1"/>
  <c r="AE32" i="3"/>
  <c r="AE40" i="3" s="1"/>
  <c r="AG37" i="3"/>
  <c r="Y32" i="3"/>
  <c r="Y40" i="3" s="1"/>
  <c r="AC32" i="3"/>
  <c r="AC40" i="3" s="1"/>
  <c r="AE36" i="3"/>
  <c r="AH32" i="3"/>
  <c r="AH40" i="3" s="1"/>
  <c r="Z32" i="3"/>
  <c r="Z40" i="3" s="1"/>
</calcChain>
</file>

<file path=xl/sharedStrings.xml><?xml version="1.0" encoding="utf-8"?>
<sst xmlns="http://schemas.openxmlformats.org/spreadsheetml/2006/main" count="599" uniqueCount="109">
  <si>
    <t>datum</t>
  </si>
  <si>
    <t>week</t>
  </si>
  <si>
    <t>opmerkingen</t>
  </si>
  <si>
    <t>verlof</t>
  </si>
  <si>
    <t>DP 9u - 14u30</t>
  </si>
  <si>
    <t>Stagiaires</t>
  </si>
  <si>
    <t>DAG 1</t>
  </si>
  <si>
    <t xml:space="preserve">DAG 2 </t>
  </si>
  <si>
    <t xml:space="preserve">Weekendpermanentie KD </t>
  </si>
  <si>
    <t>Di</t>
  </si>
  <si>
    <t xml:space="preserve">Wo </t>
  </si>
  <si>
    <t>Do</t>
  </si>
  <si>
    <t>Vr</t>
  </si>
  <si>
    <t>Za</t>
  </si>
  <si>
    <t>Zo</t>
  </si>
  <si>
    <t>Ma</t>
  </si>
  <si>
    <t xml:space="preserve">week </t>
  </si>
  <si>
    <t>Totaal te werken</t>
  </si>
  <si>
    <t>Extra uren te besteden</t>
  </si>
  <si>
    <t>NACHT</t>
  </si>
  <si>
    <t>WE PERM</t>
  </si>
  <si>
    <t>KLIMOP</t>
  </si>
  <si>
    <t>STUDIO 3</t>
  </si>
  <si>
    <t>PIJL</t>
  </si>
  <si>
    <t>FEBRUARI</t>
  </si>
  <si>
    <t>Wieland</t>
  </si>
  <si>
    <t>Linde</t>
  </si>
  <si>
    <t>Sarah</t>
  </si>
  <si>
    <t>Elien</t>
  </si>
  <si>
    <t>Leila</t>
  </si>
  <si>
    <t>Mart</t>
  </si>
  <si>
    <t>Ellen C</t>
  </si>
  <si>
    <t>Jante</t>
  </si>
  <si>
    <t>Lise</t>
  </si>
  <si>
    <t>Jolien</t>
  </si>
  <si>
    <t>Fien</t>
  </si>
  <si>
    <t>Franse les 9:30-12:30</t>
  </si>
  <si>
    <t>Hanne</t>
  </si>
  <si>
    <t>Krokusvakantie</t>
  </si>
  <si>
    <t>Elien EHBO</t>
  </si>
  <si>
    <t>Team 10u-13u</t>
  </si>
  <si>
    <t>OIV KD 10-13u</t>
  </si>
  <si>
    <t>Elien, Linde</t>
  </si>
  <si>
    <t>Ninon</t>
  </si>
  <si>
    <t>Astarte</t>
  </si>
  <si>
    <t>Bezoek mama L</t>
  </si>
  <si>
    <t>PERM</t>
  </si>
  <si>
    <t>MART</t>
  </si>
  <si>
    <t>Laure</t>
  </si>
  <si>
    <t>Isabeau</t>
  </si>
  <si>
    <t>Jonas</t>
  </si>
  <si>
    <t>Ursula</t>
  </si>
  <si>
    <t>Emilie</t>
  </si>
  <si>
    <t>Klara</t>
  </si>
  <si>
    <t>Evie</t>
  </si>
  <si>
    <t>Siebe</t>
  </si>
  <si>
    <t>Ellen P</t>
  </si>
  <si>
    <t>Franse les 9u30-12u30</t>
  </si>
  <si>
    <t>START WIELAND</t>
  </si>
  <si>
    <t>Ursula, Klara, Isa, Linde</t>
  </si>
  <si>
    <t>EMILIE</t>
  </si>
  <si>
    <t>XANTHE</t>
  </si>
  <si>
    <t>Les</t>
  </si>
  <si>
    <t>Team 10-13u + Klara</t>
  </si>
  <si>
    <t>Ursula, Siebe</t>
  </si>
  <si>
    <t>Ursula, Klara, Siebe</t>
  </si>
  <si>
    <t>Ursula, Klara, Wen, Siebe</t>
  </si>
  <si>
    <t>Ursula, Klara, Linde, Siebe</t>
  </si>
  <si>
    <t>Laure, Ursula (Joker)</t>
  </si>
  <si>
    <t xml:space="preserve">EHBO Emilie </t>
  </si>
  <si>
    <t>Mane EHBO 13-17</t>
  </si>
  <si>
    <t>Jan</t>
  </si>
  <si>
    <t>Pauline</t>
  </si>
  <si>
    <t>Tessa</t>
  </si>
  <si>
    <t>Ron</t>
  </si>
  <si>
    <t>Xanthe</t>
  </si>
  <si>
    <t>Marie</t>
  </si>
  <si>
    <t>Jasper</t>
  </si>
  <si>
    <t>Mane</t>
  </si>
  <si>
    <t>Laure verlof :) -jasper</t>
  </si>
  <si>
    <t>jasper</t>
  </si>
  <si>
    <t>Ellen V</t>
  </si>
  <si>
    <t>Team</t>
  </si>
  <si>
    <t xml:space="preserve">Wat is onze quiznaam? </t>
  </si>
  <si>
    <t>Hallo</t>
  </si>
  <si>
    <t>NVR ouderavond</t>
  </si>
  <si>
    <t>Jill</t>
  </si>
  <si>
    <t>EVIE</t>
  </si>
  <si>
    <t>Arthur</t>
  </si>
  <si>
    <t>Arthur ZH?</t>
  </si>
  <si>
    <t xml:space="preserve">Wen </t>
  </si>
  <si>
    <t>Ursula, Isabeau, Linde, Arthur</t>
  </si>
  <si>
    <t>Isabeau, Arthur</t>
  </si>
  <si>
    <t>Emilie, Arthur</t>
  </si>
  <si>
    <t>Noemie</t>
  </si>
  <si>
    <t>Ron/noemie</t>
  </si>
  <si>
    <t>vervoer A middag</t>
  </si>
  <si>
    <t>Arthur ZH</t>
  </si>
  <si>
    <t xml:space="preserve">Start Wieland </t>
  </si>
  <si>
    <t>Zara</t>
  </si>
  <si>
    <t>Lisa Marie</t>
  </si>
  <si>
    <t>Bezoek Kraainem</t>
  </si>
  <si>
    <t xml:space="preserve">Bezoek Kraainem </t>
  </si>
  <si>
    <t>Janiek</t>
  </si>
  <si>
    <t>Team 10-13u + Jonas</t>
  </si>
  <si>
    <t>Teamdag 10-15u+ Klara</t>
  </si>
  <si>
    <t>Ellen P???</t>
  </si>
  <si>
    <t>NVR ouderavond - Vervoer A middag (Hanne)</t>
  </si>
  <si>
    <t>Bezoek Kraainem 12-14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</si>
</sst>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h:mm;@"/>
    <numFmt numFmtId="166" formatCode="[h]:mm"/>
    <numFmt numFmtId="167" formatCode="[$-F800]dddd\,\ mmmm\ dd\,\ yyyy"/>
  </numFmts>
  <fonts count="31" x14ac:knownFonts="1">
    <font>
      <sz val="10"/>
      <name val="MS Sans Serif"/>
    </font>
    <font>
      <sz val="10"/>
      <name val="MS Sans Serif"/>
      <family val="2"/>
    </font>
    <font>
      <i/>
      <sz val="8.5"/>
      <name val="MS Sans Serif"/>
      <family val="2"/>
    </font>
    <font>
      <b/>
      <sz val="22"/>
      <name val="Tahoma"/>
      <family val="2"/>
    </font>
    <font>
      <sz val="22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6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sz val="14"/>
      <name val="Tahoma"/>
      <family val="2"/>
    </font>
    <font>
      <sz val="16"/>
      <name val="Tahoma"/>
      <family val="2"/>
    </font>
    <font>
      <b/>
      <sz val="18"/>
      <name val="Tahoma"/>
      <family val="2"/>
    </font>
    <font>
      <b/>
      <sz val="14"/>
      <name val="Tahoma"/>
      <family val="2"/>
    </font>
    <font>
      <sz val="16"/>
      <color theme="0"/>
      <name val="Tahoma"/>
      <family val="2"/>
    </font>
    <font>
      <sz val="10"/>
      <color theme="0"/>
      <name val="Tahoma"/>
      <family val="2"/>
    </font>
    <font>
      <sz val="10"/>
      <name val="MS Sans Serif"/>
      <family val="2"/>
    </font>
    <font>
      <sz val="11"/>
      <name val="Tahoma"/>
      <family val="2"/>
    </font>
    <font>
      <sz val="5"/>
      <color theme="0"/>
      <name val="Tahoma"/>
      <family val="2"/>
    </font>
    <font>
      <b/>
      <sz val="11"/>
      <name val="Tahoma"/>
      <family val="2"/>
    </font>
    <font>
      <sz val="10"/>
      <color theme="1"/>
      <name val="Tahoma"/>
      <family val="2"/>
    </font>
    <font>
      <b/>
      <sz val="8"/>
      <name val="Tahoma"/>
      <family val="2"/>
    </font>
    <font>
      <sz val="10"/>
      <name val="Calibri"/>
      <family val="2"/>
    </font>
    <font>
      <b/>
      <sz val="10"/>
      <name val="Calibri"/>
      <family val="2"/>
    </font>
    <font>
      <sz val="36"/>
      <name val="Tahoma"/>
      <family val="2"/>
    </font>
    <font>
      <strike/>
      <sz val="10"/>
      <color theme="1"/>
      <name val="Tahoma"/>
      <family val="2"/>
    </font>
    <font>
      <strike/>
      <sz val="10"/>
      <name val="Tahoma"/>
      <family val="2"/>
    </font>
    <font>
      <b/>
      <strike/>
      <sz val="10"/>
      <name val="Tahoma"/>
      <family val="2"/>
    </font>
    <font>
      <strike/>
      <sz val="10"/>
      <color theme="0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theme="0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7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8" fillId="0" borderId="0"/>
  </cellStyleXfs>
  <cellXfs count="561">
    <xf numFmtId="0" fontId="0" fillId="0" borderId="0" xfId="0"/>
    <xf numFmtId="0" fontId="5" fillId="2" borderId="0" xfId="0" applyFont="1" applyFill="1" applyAlignment="1">
      <alignment vertical="center" shrinkToFit="1"/>
    </xf>
    <xf numFmtId="0" fontId="4" fillId="2" borderId="1" xfId="0" applyFont="1" applyFill="1" applyBorder="1" applyAlignment="1">
      <alignment vertical="center" shrinkToFit="1"/>
    </xf>
    <xf numFmtId="0" fontId="5" fillId="2" borderId="0" xfId="0" applyFont="1" applyFill="1" applyAlignment="1">
      <alignment horizontal="center" vertical="center" shrinkToFit="1"/>
    </xf>
    <xf numFmtId="0" fontId="11" fillId="2" borderId="0" xfId="0" applyFont="1" applyFill="1" applyAlignment="1">
      <alignment horizontal="center" vertical="center" shrinkToFit="1"/>
    </xf>
    <xf numFmtId="0" fontId="4" fillId="2" borderId="9" xfId="0" applyFont="1" applyFill="1" applyBorder="1" applyAlignment="1" applyProtection="1">
      <alignment vertical="center" shrinkToFit="1"/>
      <protection hidden="1"/>
    </xf>
    <xf numFmtId="0" fontId="5" fillId="2" borderId="0" xfId="0" applyFont="1" applyFill="1" applyAlignment="1" applyProtection="1">
      <alignment vertical="center" shrinkToFit="1"/>
      <protection hidden="1"/>
    </xf>
    <xf numFmtId="0" fontId="12" fillId="2" borderId="19" xfId="0" applyFont="1" applyFill="1" applyBorder="1" applyAlignment="1" applyProtection="1">
      <alignment horizontal="center" vertical="center" shrinkToFit="1"/>
      <protection hidden="1"/>
    </xf>
    <xf numFmtId="0" fontId="12" fillId="2" borderId="0" xfId="0" applyFont="1" applyFill="1" applyAlignment="1" applyProtection="1">
      <alignment horizontal="center" vertical="center" shrinkToFit="1"/>
      <protection hidden="1"/>
    </xf>
    <xf numFmtId="0" fontId="11" fillId="2" borderId="0" xfId="0" applyFont="1" applyFill="1" applyAlignment="1" applyProtection="1">
      <alignment horizontal="center" vertical="center" shrinkToFit="1"/>
      <protection hidden="1"/>
    </xf>
    <xf numFmtId="165" fontId="11" fillId="2" borderId="0" xfId="0" applyNumberFormat="1" applyFont="1" applyFill="1" applyAlignment="1" applyProtection="1">
      <alignment horizontal="center" vertical="center" shrinkToFit="1"/>
      <protection hidden="1"/>
    </xf>
    <xf numFmtId="165" fontId="12" fillId="2" borderId="0" xfId="0" applyNumberFormat="1" applyFont="1" applyFill="1" applyAlignment="1" applyProtection="1">
      <alignment horizontal="center" vertical="center" shrinkToFit="1"/>
      <protection hidden="1"/>
    </xf>
    <xf numFmtId="165" fontId="11" fillId="2" borderId="0" xfId="0" applyNumberFormat="1" applyFont="1" applyFill="1" applyAlignment="1">
      <alignment horizontal="center" vertical="center" shrinkToFit="1"/>
    </xf>
    <xf numFmtId="0" fontId="5" fillId="2" borderId="19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165" fontId="5" fillId="2" borderId="0" xfId="0" applyNumberFormat="1" applyFont="1" applyFill="1" applyAlignment="1" applyProtection="1">
      <alignment horizontal="center" vertical="center"/>
      <protection hidden="1"/>
    </xf>
    <xf numFmtId="0" fontId="5" fillId="3" borderId="0" xfId="0" applyFont="1" applyFill="1" applyAlignment="1">
      <alignment vertical="center" shrinkToFit="1"/>
    </xf>
    <xf numFmtId="0" fontId="4" fillId="2" borderId="0" xfId="0" applyFont="1" applyFill="1" applyAlignment="1">
      <alignment vertical="center" shrinkToFit="1"/>
    </xf>
    <xf numFmtId="164" fontId="5" fillId="2" borderId="0" xfId="0" applyNumberFormat="1" applyFont="1" applyFill="1" applyAlignment="1" applyProtection="1">
      <alignment vertical="center" shrinkToFit="1"/>
      <protection hidden="1"/>
    </xf>
    <xf numFmtId="0" fontId="13" fillId="2" borderId="19" xfId="0" applyFont="1" applyFill="1" applyBorder="1" applyAlignment="1">
      <alignment vertical="center" shrinkToFit="1"/>
    </xf>
    <xf numFmtId="0" fontId="5" fillId="2" borderId="19" xfId="0" applyFont="1" applyFill="1" applyBorder="1" applyAlignment="1">
      <alignment vertical="center" shrinkToFit="1"/>
    </xf>
    <xf numFmtId="0" fontId="5" fillId="2" borderId="19" xfId="0" applyFont="1" applyFill="1" applyBorder="1" applyAlignment="1">
      <alignment vertical="center" textRotation="180" shrinkToFit="1"/>
    </xf>
    <xf numFmtId="0" fontId="5" fillId="2" borderId="0" xfId="0" applyFont="1" applyFill="1" applyAlignment="1">
      <alignment horizontal="center" vertical="center" textRotation="180" shrinkToFit="1"/>
    </xf>
    <xf numFmtId="0" fontId="11" fillId="2" borderId="0" xfId="0" applyFont="1" applyFill="1" applyAlignment="1">
      <alignment horizontal="center" vertical="center" textRotation="180" shrinkToFit="1"/>
    </xf>
    <xf numFmtId="0" fontId="5" fillId="2" borderId="0" xfId="0" applyFont="1" applyFill="1" applyAlignment="1" applyProtection="1">
      <alignment vertical="center" textRotation="180" shrinkToFit="1"/>
      <protection hidden="1"/>
    </xf>
    <xf numFmtId="0" fontId="5" fillId="2" borderId="0" xfId="0" applyFont="1" applyFill="1" applyAlignment="1">
      <alignment vertical="center" textRotation="180" shrinkToFit="1"/>
    </xf>
    <xf numFmtId="0" fontId="5" fillId="2" borderId="17" xfId="0" applyFont="1" applyFill="1" applyBorder="1" applyAlignment="1">
      <alignment vertical="center" textRotation="180" shrinkToFit="1"/>
    </xf>
    <xf numFmtId="0" fontId="5" fillId="2" borderId="32" xfId="0" applyFont="1" applyFill="1" applyBorder="1" applyAlignment="1">
      <alignment horizontal="center" vertical="center" textRotation="180" shrinkToFit="1"/>
    </xf>
    <xf numFmtId="0" fontId="11" fillId="2" borderId="32" xfId="0" applyFont="1" applyFill="1" applyBorder="1" applyAlignment="1">
      <alignment horizontal="center" vertical="center" textRotation="180" shrinkToFit="1"/>
    </xf>
    <xf numFmtId="0" fontId="5" fillId="2" borderId="32" xfId="0" applyFont="1" applyFill="1" applyBorder="1" applyAlignment="1" applyProtection="1">
      <alignment vertical="center" textRotation="180" shrinkToFit="1"/>
      <protection hidden="1"/>
    </xf>
    <xf numFmtId="0" fontId="6" fillId="3" borderId="0" xfId="0" applyFont="1" applyFill="1" applyAlignment="1" applyProtection="1">
      <alignment vertical="center" shrinkToFit="1"/>
      <protection hidden="1"/>
    </xf>
    <xf numFmtId="0" fontId="6" fillId="3" borderId="0" xfId="0" applyFont="1" applyFill="1" applyAlignment="1">
      <alignment vertical="center" shrinkToFit="1"/>
    </xf>
    <xf numFmtId="0" fontId="12" fillId="2" borderId="26" xfId="0" applyFont="1" applyFill="1" applyBorder="1" applyAlignment="1" applyProtection="1">
      <alignment horizontal="center" vertical="center"/>
      <protection hidden="1"/>
    </xf>
    <xf numFmtId="165" fontId="12" fillId="2" borderId="26" xfId="0" applyNumberFormat="1" applyFont="1" applyFill="1" applyBorder="1" applyAlignment="1" applyProtection="1">
      <alignment horizontal="center" vertical="center"/>
      <protection hidden="1"/>
    </xf>
    <xf numFmtId="0" fontId="15" fillId="3" borderId="11" xfId="0" applyFont="1" applyFill="1" applyBorder="1" applyAlignment="1" applyProtection="1">
      <alignment vertical="center"/>
      <protection hidden="1"/>
    </xf>
    <xf numFmtId="0" fontId="16" fillId="2" borderId="0" xfId="0" applyFont="1" applyFill="1" applyAlignment="1">
      <alignment vertical="center" shrinkToFit="1"/>
    </xf>
    <xf numFmtId="0" fontId="16" fillId="2" borderId="0" xfId="0" applyFont="1" applyFill="1" applyAlignment="1" applyProtection="1">
      <alignment vertical="center" shrinkToFit="1"/>
      <protection hidden="1"/>
    </xf>
    <xf numFmtId="0" fontId="17" fillId="2" borderId="0" xfId="0" applyFont="1" applyFill="1" applyAlignment="1" applyProtection="1">
      <alignment horizontal="center" vertical="center" shrinkToFit="1"/>
      <protection hidden="1"/>
    </xf>
    <xf numFmtId="166" fontId="13" fillId="3" borderId="34" xfId="0" applyNumberFormat="1" applyFont="1" applyFill="1" applyBorder="1" applyAlignment="1" applyProtection="1">
      <alignment vertical="center" textRotation="180" shrinkToFit="1"/>
      <protection hidden="1"/>
    </xf>
    <xf numFmtId="166" fontId="13" fillId="3" borderId="6" xfId="0" applyNumberFormat="1" applyFont="1" applyFill="1" applyBorder="1" applyAlignment="1" applyProtection="1">
      <alignment vertical="center" textRotation="180" shrinkToFit="1"/>
      <protection hidden="1"/>
    </xf>
    <xf numFmtId="0" fontId="4" fillId="2" borderId="8" xfId="0" applyFont="1" applyFill="1" applyBorder="1" applyAlignment="1" applyProtection="1">
      <alignment vertical="center" shrinkToFit="1"/>
      <protection hidden="1"/>
    </xf>
    <xf numFmtId="0" fontId="4" fillId="2" borderId="20" xfId="0" applyFont="1" applyFill="1" applyBorder="1" applyAlignment="1" applyProtection="1">
      <alignment vertical="center" shrinkToFit="1"/>
      <protection hidden="1"/>
    </xf>
    <xf numFmtId="0" fontId="21" fillId="5" borderId="20" xfId="0" applyFont="1" applyFill="1" applyBorder="1" applyAlignment="1" applyProtection="1">
      <alignment vertical="center" shrinkToFit="1"/>
      <protection hidden="1"/>
    </xf>
    <xf numFmtId="0" fontId="10" fillId="5" borderId="17" xfId="0" applyFont="1" applyFill="1" applyBorder="1" applyAlignment="1" applyProtection="1">
      <alignment vertical="center" shrinkToFit="1"/>
      <protection hidden="1"/>
    </xf>
    <xf numFmtId="0" fontId="21" fillId="5" borderId="18" xfId="0" applyFont="1" applyFill="1" applyBorder="1" applyAlignment="1" applyProtection="1">
      <alignment vertical="center" shrinkToFit="1"/>
      <protection hidden="1"/>
    </xf>
    <xf numFmtId="0" fontId="10" fillId="5" borderId="37" xfId="0" applyFont="1" applyFill="1" applyBorder="1" applyAlignment="1" applyProtection="1">
      <alignment horizontal="left" vertical="center" shrinkToFit="1"/>
      <protection hidden="1"/>
    </xf>
    <xf numFmtId="0" fontId="21" fillId="5" borderId="45" xfId="0" applyFont="1" applyFill="1" applyBorder="1" applyAlignment="1" applyProtection="1">
      <alignment vertical="center" shrinkToFit="1"/>
      <protection hidden="1"/>
    </xf>
    <xf numFmtId="0" fontId="11" fillId="2" borderId="21" xfId="0" applyFont="1" applyFill="1" applyBorder="1" applyAlignment="1" applyProtection="1">
      <alignment horizontal="center" vertical="center" shrinkToFit="1"/>
      <protection hidden="1"/>
    </xf>
    <xf numFmtId="165" fontId="11" fillId="2" borderId="21" xfId="0" applyNumberFormat="1" applyFont="1" applyFill="1" applyBorder="1" applyAlignment="1" applyProtection="1">
      <alignment horizontal="center" vertical="center" shrinkToFit="1"/>
      <protection hidden="1"/>
    </xf>
    <xf numFmtId="166" fontId="5" fillId="5" borderId="5" xfId="0" applyNumberFormat="1" applyFont="1" applyFill="1" applyBorder="1" applyAlignment="1" applyProtection="1">
      <alignment vertical="center" shrinkToFit="1"/>
      <protection hidden="1"/>
    </xf>
    <xf numFmtId="166" fontId="5" fillId="5" borderId="40" xfId="0" applyNumberFormat="1" applyFont="1" applyFill="1" applyBorder="1" applyAlignment="1" applyProtection="1">
      <alignment vertical="center" shrinkToFit="1"/>
      <protection hidden="1"/>
    </xf>
    <xf numFmtId="166" fontId="5" fillId="5" borderId="47" xfId="0" applyNumberFormat="1" applyFont="1" applyFill="1" applyBorder="1" applyAlignment="1" applyProtection="1">
      <alignment vertical="center" shrinkToFit="1"/>
      <protection hidden="1"/>
    </xf>
    <xf numFmtId="166" fontId="5" fillId="5" borderId="48" xfId="0" applyNumberFormat="1" applyFont="1" applyFill="1" applyBorder="1" applyAlignment="1" applyProtection="1">
      <alignment vertical="center" shrinkToFit="1"/>
      <protection hidden="1"/>
    </xf>
    <xf numFmtId="167" fontId="14" fillId="2" borderId="26" xfId="0" applyNumberFormat="1" applyFont="1" applyFill="1" applyBorder="1" applyAlignment="1" applyProtection="1">
      <alignment vertical="center" wrapText="1"/>
      <protection hidden="1"/>
    </xf>
    <xf numFmtId="167" fontId="10" fillId="2" borderId="26" xfId="0" applyNumberFormat="1" applyFont="1" applyFill="1" applyBorder="1" applyAlignment="1" applyProtection="1">
      <alignment vertical="center" shrinkToFit="1"/>
      <protection hidden="1"/>
    </xf>
    <xf numFmtId="167" fontId="12" fillId="2" borderId="26" xfId="0" applyNumberFormat="1" applyFont="1" applyFill="1" applyBorder="1" applyAlignment="1" applyProtection="1">
      <alignment vertical="center" shrinkToFit="1"/>
      <protection hidden="1"/>
    </xf>
    <xf numFmtId="167" fontId="11" fillId="2" borderId="26" xfId="0" applyNumberFormat="1" applyFont="1" applyFill="1" applyBorder="1" applyAlignment="1" applyProtection="1">
      <alignment horizontal="center" vertical="center" shrinkToFit="1"/>
      <protection hidden="1"/>
    </xf>
    <xf numFmtId="167" fontId="11" fillId="2" borderId="11" xfId="0" applyNumberFormat="1" applyFont="1" applyFill="1" applyBorder="1" applyAlignment="1" applyProtection="1">
      <alignment horizontal="center" vertical="center" shrinkToFit="1"/>
      <protection hidden="1"/>
    </xf>
    <xf numFmtId="0" fontId="11" fillId="0" borderId="19" xfId="0" applyFont="1" applyBorder="1" applyAlignment="1" applyProtection="1">
      <alignment vertical="center" shrinkToFit="1"/>
      <protection hidden="1"/>
    </xf>
    <xf numFmtId="0" fontId="19" fillId="0" borderId="33" xfId="0" applyFont="1" applyBorder="1" applyAlignment="1" applyProtection="1">
      <alignment vertical="center" shrinkToFit="1"/>
      <protection hidden="1"/>
    </xf>
    <xf numFmtId="0" fontId="11" fillId="0" borderId="16" xfId="0" applyFont="1" applyBorder="1" applyAlignment="1" applyProtection="1">
      <alignment vertical="center" shrinkToFit="1"/>
      <protection hidden="1"/>
    </xf>
    <xf numFmtId="0" fontId="19" fillId="0" borderId="36" xfId="0" applyFont="1" applyBorder="1" applyAlignment="1" applyProtection="1">
      <alignment vertical="center" shrinkToFit="1"/>
      <protection hidden="1"/>
    </xf>
    <xf numFmtId="0" fontId="11" fillId="0" borderId="14" xfId="0" applyFont="1" applyBorder="1" applyAlignment="1" applyProtection="1">
      <alignment vertical="center" shrinkToFit="1"/>
      <protection hidden="1"/>
    </xf>
    <xf numFmtId="0" fontId="19" fillId="0" borderId="15" xfId="0" applyFont="1" applyBorder="1" applyAlignment="1" applyProtection="1">
      <alignment vertical="center" shrinkToFit="1"/>
      <protection hidden="1"/>
    </xf>
    <xf numFmtId="0" fontId="10" fillId="5" borderId="19" xfId="0" applyFont="1" applyFill="1" applyBorder="1" applyAlignment="1" applyProtection="1">
      <alignment vertical="center" shrinkToFit="1"/>
      <protection hidden="1"/>
    </xf>
    <xf numFmtId="0" fontId="21" fillId="5" borderId="36" xfId="0" applyFont="1" applyFill="1" applyBorder="1" applyAlignment="1" applyProtection="1">
      <alignment vertical="center" shrinkToFit="1"/>
      <protection hidden="1"/>
    </xf>
    <xf numFmtId="0" fontId="10" fillId="5" borderId="38" xfId="0" applyFont="1" applyFill="1" applyBorder="1" applyAlignment="1" applyProtection="1">
      <alignment horizontal="right" vertical="center" shrinkToFit="1"/>
      <protection hidden="1"/>
    </xf>
    <xf numFmtId="167" fontId="9" fillId="2" borderId="32" xfId="0" applyNumberFormat="1" applyFont="1" applyFill="1" applyBorder="1" applyAlignment="1" applyProtection="1">
      <alignment vertical="center" shrinkToFit="1"/>
      <protection hidden="1"/>
    </xf>
    <xf numFmtId="167" fontId="9" fillId="2" borderId="18" xfId="0" applyNumberFormat="1" applyFont="1" applyFill="1" applyBorder="1" applyAlignment="1" applyProtection="1">
      <alignment vertical="center" shrinkToFit="1"/>
      <protection hidden="1"/>
    </xf>
    <xf numFmtId="0" fontId="6" fillId="2" borderId="10" xfId="0" applyFont="1" applyFill="1" applyBorder="1" applyAlignment="1" applyProtection="1">
      <alignment vertical="center" shrinkToFit="1"/>
      <protection hidden="1"/>
    </xf>
    <xf numFmtId="0" fontId="6" fillId="2" borderId="11" xfId="0" applyFont="1" applyFill="1" applyBorder="1" applyAlignment="1" applyProtection="1">
      <alignment vertical="center" shrinkToFit="1"/>
      <protection hidden="1"/>
    </xf>
    <xf numFmtId="20" fontId="16" fillId="2" borderId="0" xfId="0" applyNumberFormat="1" applyFont="1" applyFill="1" applyAlignment="1">
      <alignment vertical="center" shrinkToFit="1"/>
    </xf>
    <xf numFmtId="20" fontId="16" fillId="2" borderId="32" xfId="0" applyNumberFormat="1" applyFont="1" applyFill="1" applyBorder="1" applyAlignment="1">
      <alignment vertical="center" shrinkToFit="1"/>
    </xf>
    <xf numFmtId="0" fontId="6" fillId="3" borderId="26" xfId="0" applyFont="1" applyFill="1" applyBorder="1" applyAlignment="1" applyProtection="1">
      <alignment vertical="center" shrinkToFit="1"/>
      <protection hidden="1"/>
    </xf>
    <xf numFmtId="0" fontId="6" fillId="3" borderId="10" xfId="0" applyFont="1" applyFill="1" applyBorder="1" applyAlignment="1" applyProtection="1">
      <alignment vertical="center" shrinkToFit="1"/>
      <protection hidden="1"/>
    </xf>
    <xf numFmtId="0" fontId="6" fillId="2" borderId="26" xfId="0" applyFont="1" applyFill="1" applyBorder="1" applyAlignment="1" applyProtection="1">
      <alignment vertical="center" shrinkToFit="1"/>
      <protection hidden="1"/>
    </xf>
    <xf numFmtId="0" fontId="6" fillId="2" borderId="21" xfId="0" applyFont="1" applyFill="1" applyBorder="1" applyAlignment="1" applyProtection="1">
      <alignment vertical="center" shrinkToFit="1"/>
      <protection hidden="1"/>
    </xf>
    <xf numFmtId="0" fontId="6" fillId="2" borderId="21" xfId="0" quotePrefix="1" applyFont="1" applyFill="1" applyBorder="1" applyAlignment="1" applyProtection="1">
      <alignment vertical="center" shrinkToFit="1"/>
      <protection hidden="1"/>
    </xf>
    <xf numFmtId="0" fontId="6" fillId="2" borderId="26" xfId="0" applyFont="1" applyFill="1" applyBorder="1" applyAlignment="1" applyProtection="1">
      <alignment vertical="center" wrapText="1" shrinkToFit="1"/>
      <protection hidden="1"/>
    </xf>
    <xf numFmtId="0" fontId="6" fillId="2" borderId="11" xfId="0" applyFont="1" applyFill="1" applyBorder="1" applyAlignment="1" applyProtection="1">
      <alignment vertical="center" wrapText="1" shrinkToFit="1"/>
      <protection hidden="1"/>
    </xf>
    <xf numFmtId="0" fontId="6" fillId="7" borderId="21" xfId="0" applyFont="1" applyFill="1" applyBorder="1" applyAlignment="1" applyProtection="1">
      <alignment vertical="center" wrapText="1" shrinkToFit="1"/>
      <protection hidden="1"/>
    </xf>
    <xf numFmtId="0" fontId="5" fillId="5" borderId="43" xfId="0" applyFont="1" applyFill="1" applyBorder="1" applyAlignment="1" applyProtection="1">
      <alignment vertical="center" shrinkToFit="1"/>
      <protection hidden="1"/>
    </xf>
    <xf numFmtId="0" fontId="5" fillId="5" borderId="32" xfId="0" applyFont="1" applyFill="1" applyBorder="1" applyAlignment="1" applyProtection="1">
      <alignment vertical="center" shrinkToFit="1"/>
      <protection hidden="1"/>
    </xf>
    <xf numFmtId="0" fontId="5" fillId="5" borderId="35" xfId="0" applyFont="1" applyFill="1" applyBorder="1" applyAlignment="1" applyProtection="1">
      <alignment vertical="center" shrinkToFit="1"/>
      <protection hidden="1"/>
    </xf>
    <xf numFmtId="0" fontId="5" fillId="5" borderId="25" xfId="0" applyFont="1" applyFill="1" applyBorder="1" applyAlignment="1" applyProtection="1">
      <alignment vertical="center" shrinkToFit="1"/>
      <protection hidden="1"/>
    </xf>
    <xf numFmtId="0" fontId="6" fillId="5" borderId="43" xfId="0" applyFont="1" applyFill="1" applyBorder="1" applyAlignment="1" applyProtection="1">
      <alignment horizontal="center" vertical="center" shrinkToFit="1"/>
      <protection hidden="1"/>
    </xf>
    <xf numFmtId="20" fontId="6" fillId="5" borderId="35" xfId="1" applyNumberFormat="1" applyFont="1" applyFill="1" applyBorder="1" applyAlignment="1" applyProtection="1">
      <alignment horizontal="center" vertical="center" shrinkToFit="1"/>
      <protection locked="0" hidden="1"/>
    </xf>
    <xf numFmtId="20" fontId="5" fillId="5" borderId="35" xfId="1" applyNumberFormat="1" applyFont="1" applyFill="1" applyBorder="1" applyAlignment="1" applyProtection="1">
      <alignment horizontal="center" vertical="center" shrinkToFit="1"/>
      <protection hidden="1"/>
    </xf>
    <xf numFmtId="0" fontId="6" fillId="5" borderId="43" xfId="1" applyFont="1" applyFill="1" applyBorder="1" applyAlignment="1" applyProtection="1">
      <alignment horizontal="center" vertical="center" shrinkToFit="1"/>
      <protection locked="0" hidden="1"/>
    </xf>
    <xf numFmtId="20" fontId="6" fillId="5" borderId="37" xfId="1" applyNumberFormat="1" applyFont="1" applyFill="1" applyBorder="1" applyAlignment="1" applyProtection="1">
      <alignment horizontal="center" vertical="center" shrinkToFit="1"/>
      <protection locked="0" hidden="1"/>
    </xf>
    <xf numFmtId="20" fontId="6" fillId="5" borderId="35" xfId="1" applyNumberFormat="1" applyFont="1" applyFill="1" applyBorder="1" applyAlignment="1" applyProtection="1">
      <alignment horizontal="center" vertical="center"/>
      <protection hidden="1"/>
    </xf>
    <xf numFmtId="20" fontId="6" fillId="4" borderId="35" xfId="1" applyNumberFormat="1" applyFont="1" applyFill="1" applyBorder="1" applyAlignment="1" applyProtection="1">
      <alignment horizontal="center" vertical="center" shrinkToFit="1"/>
      <protection locked="0" hidden="1"/>
    </xf>
    <xf numFmtId="165" fontId="5" fillId="5" borderId="38" xfId="1" applyNumberFormat="1" applyFont="1" applyFill="1" applyBorder="1" applyAlignment="1" applyProtection="1">
      <alignment horizontal="center" vertical="center" shrinkToFit="1"/>
      <protection hidden="1"/>
    </xf>
    <xf numFmtId="0" fontId="6" fillId="5" borderId="32" xfId="0" applyFont="1" applyFill="1" applyBorder="1" applyAlignment="1" applyProtection="1">
      <alignment horizontal="center" vertical="center" shrinkToFit="1"/>
      <protection hidden="1"/>
    </xf>
    <xf numFmtId="20" fontId="6" fillId="5" borderId="25" xfId="1" applyNumberFormat="1" applyFont="1" applyFill="1" applyBorder="1" applyAlignment="1" applyProtection="1">
      <alignment horizontal="center" vertical="center" shrinkToFit="1"/>
      <protection locked="0" hidden="1"/>
    </xf>
    <xf numFmtId="20" fontId="5" fillId="5" borderId="28" xfId="1" applyNumberFormat="1" applyFont="1" applyFill="1" applyBorder="1" applyAlignment="1" applyProtection="1">
      <alignment horizontal="center" vertical="center" shrinkToFit="1"/>
      <protection hidden="1"/>
    </xf>
    <xf numFmtId="0" fontId="6" fillId="5" borderId="32" xfId="1" applyFont="1" applyFill="1" applyBorder="1" applyAlignment="1" applyProtection="1">
      <alignment horizontal="center" vertical="center" shrinkToFit="1"/>
      <protection locked="0" hidden="1"/>
    </xf>
    <xf numFmtId="20" fontId="6" fillId="5" borderId="41" xfId="1" applyNumberFormat="1" applyFont="1" applyFill="1" applyBorder="1" applyAlignment="1" applyProtection="1">
      <alignment horizontal="center" vertical="center" shrinkToFit="1"/>
      <protection locked="0" hidden="1"/>
    </xf>
    <xf numFmtId="20" fontId="6" fillId="5" borderId="44" xfId="1" applyNumberFormat="1" applyFont="1" applyFill="1" applyBorder="1" applyAlignment="1" applyProtection="1">
      <alignment horizontal="center" vertical="center" shrinkToFit="1"/>
      <protection locked="0" hidden="1"/>
    </xf>
    <xf numFmtId="20" fontId="5" fillId="5" borderId="41" xfId="1" applyNumberFormat="1" applyFont="1" applyFill="1" applyBorder="1" applyAlignment="1" applyProtection="1">
      <alignment horizontal="center" vertical="center" shrinkToFit="1"/>
      <protection hidden="1"/>
    </xf>
    <xf numFmtId="20" fontId="6" fillId="5" borderId="41" xfId="1" applyNumberFormat="1" applyFont="1" applyFill="1" applyBorder="1" applyAlignment="1" applyProtection="1">
      <alignment horizontal="center" vertical="center"/>
      <protection hidden="1"/>
    </xf>
    <xf numFmtId="20" fontId="6" fillId="4" borderId="41" xfId="1" applyNumberFormat="1" applyFont="1" applyFill="1" applyBorder="1" applyAlignment="1" applyProtection="1">
      <alignment horizontal="center" vertical="center" shrinkToFit="1"/>
      <protection locked="0" hidden="1"/>
    </xf>
    <xf numFmtId="165" fontId="5" fillId="5" borderId="45" xfId="1" applyNumberFormat="1" applyFont="1" applyFill="1" applyBorder="1" applyAlignment="1" applyProtection="1">
      <alignment horizontal="center" vertical="center" shrinkToFit="1"/>
      <protection hidden="1"/>
    </xf>
    <xf numFmtId="20" fontId="5" fillId="0" borderId="27" xfId="1" applyNumberFormat="1" applyFont="1" applyBorder="1" applyAlignment="1" applyProtection="1">
      <alignment horizontal="center" vertical="center" shrinkToFit="1"/>
      <protection locked="0" hidden="1"/>
    </xf>
    <xf numFmtId="165" fontId="5" fillId="0" borderId="27" xfId="1" applyNumberFormat="1" applyFont="1" applyBorder="1" applyAlignment="1" applyProtection="1">
      <alignment horizontal="center" vertical="center" shrinkToFit="1"/>
      <protection hidden="1"/>
    </xf>
    <xf numFmtId="20" fontId="5" fillId="0" borderId="22" xfId="1" applyNumberFormat="1" applyFont="1" applyBorder="1" applyAlignment="1" applyProtection="1">
      <alignment horizontal="center" vertical="center" shrinkToFit="1"/>
      <protection locked="0" hidden="1"/>
    </xf>
    <xf numFmtId="165" fontId="5" fillId="0" borderId="22" xfId="1" applyNumberFormat="1" applyFont="1" applyBorder="1" applyAlignment="1" applyProtection="1">
      <alignment horizontal="center" vertical="center" shrinkToFit="1"/>
      <protection hidden="1"/>
    </xf>
    <xf numFmtId="0" fontId="22" fillId="0" borderId="36" xfId="1" applyFont="1" applyBorder="1" applyAlignment="1" applyProtection="1">
      <alignment horizontal="center" vertical="center" shrinkToFit="1"/>
      <protection locked="0" hidden="1"/>
    </xf>
    <xf numFmtId="20" fontId="5" fillId="0" borderId="41" xfId="1" applyNumberFormat="1" applyFont="1" applyBorder="1" applyAlignment="1" applyProtection="1">
      <alignment horizontal="center" vertical="center" shrinkToFit="1"/>
      <protection locked="0" hidden="1"/>
    </xf>
    <xf numFmtId="20" fontId="5" fillId="0" borderId="44" xfId="1" applyNumberFormat="1" applyFont="1" applyBorder="1" applyAlignment="1" applyProtection="1">
      <alignment horizontal="center" vertical="center" shrinkToFit="1"/>
      <protection locked="0" hidden="1"/>
    </xf>
    <xf numFmtId="165" fontId="5" fillId="0" borderId="41" xfId="1" applyNumberFormat="1" applyFont="1" applyBorder="1" applyAlignment="1" applyProtection="1">
      <alignment horizontal="center" vertical="center" shrinkToFit="1"/>
      <protection hidden="1"/>
    </xf>
    <xf numFmtId="20" fontId="6" fillId="5" borderId="12" xfId="1" applyNumberFormat="1" applyFont="1" applyFill="1" applyBorder="1" applyAlignment="1" applyProtection="1">
      <alignment horizontal="center" vertical="center" shrinkToFit="1"/>
      <protection hidden="1"/>
    </xf>
    <xf numFmtId="0" fontId="6" fillId="5" borderId="46" xfId="0" applyFont="1" applyFill="1" applyBorder="1" applyAlignment="1" applyProtection="1">
      <alignment horizontal="center" vertical="center" shrinkToFit="1"/>
      <protection hidden="1"/>
    </xf>
    <xf numFmtId="20" fontId="5" fillId="0" borderId="27" xfId="1" applyNumberFormat="1" applyFont="1" applyBorder="1" applyAlignment="1" applyProtection="1">
      <alignment horizontal="center" vertical="center" shrinkToFit="1"/>
      <protection hidden="1"/>
    </xf>
    <xf numFmtId="0" fontId="5" fillId="0" borderId="15" xfId="1" applyFont="1" applyBorder="1" applyAlignment="1" applyProtection="1">
      <alignment horizontal="center" vertical="center" shrinkToFit="1"/>
      <protection locked="0" hidden="1"/>
    </xf>
    <xf numFmtId="0" fontId="22" fillId="0" borderId="15" xfId="1" applyFont="1" applyBorder="1" applyAlignment="1" applyProtection="1">
      <alignment horizontal="center" vertical="center" shrinkToFit="1"/>
      <protection locked="0" hidden="1"/>
    </xf>
    <xf numFmtId="166" fontId="5" fillId="5" borderId="51" xfId="0" applyNumberFormat="1" applyFont="1" applyFill="1" applyBorder="1" applyAlignment="1" applyProtection="1">
      <alignment vertical="center" shrinkToFit="1"/>
      <protection hidden="1"/>
    </xf>
    <xf numFmtId="166" fontId="8" fillId="3" borderId="35" xfId="0" applyNumberFormat="1" applyFont="1" applyFill="1" applyBorder="1" applyAlignment="1" applyProtection="1">
      <alignment vertical="center" shrinkToFit="1"/>
      <protection hidden="1"/>
    </xf>
    <xf numFmtId="166" fontId="8" fillId="3" borderId="28" xfId="0" applyNumberFormat="1" applyFont="1" applyFill="1" applyBorder="1" applyAlignment="1" applyProtection="1">
      <alignment vertical="center" shrinkToFit="1"/>
      <protection hidden="1"/>
    </xf>
    <xf numFmtId="166" fontId="8" fillId="3" borderId="37" xfId="0" applyNumberFormat="1" applyFont="1" applyFill="1" applyBorder="1" applyAlignment="1" applyProtection="1">
      <alignment vertical="center" shrinkToFit="1"/>
      <protection hidden="1"/>
    </xf>
    <xf numFmtId="166" fontId="8" fillId="3" borderId="16" xfId="0" applyNumberFormat="1" applyFont="1" applyFill="1" applyBorder="1" applyAlignment="1" applyProtection="1">
      <alignment vertical="center" shrinkToFit="1"/>
      <protection hidden="1"/>
    </xf>
    <xf numFmtId="166" fontId="8" fillId="3" borderId="14" xfId="0" applyNumberFormat="1" applyFont="1" applyFill="1" applyBorder="1" applyAlignment="1" applyProtection="1">
      <alignment vertical="center" shrinkToFit="1"/>
      <protection hidden="1"/>
    </xf>
    <xf numFmtId="166" fontId="8" fillId="3" borderId="27" xfId="0" applyNumberFormat="1" applyFont="1" applyFill="1" applyBorder="1" applyAlignment="1" applyProtection="1">
      <alignment vertical="center" shrinkToFit="1"/>
      <protection hidden="1"/>
    </xf>
    <xf numFmtId="166" fontId="8" fillId="3" borderId="43" xfId="0" applyNumberFormat="1" applyFont="1" applyFill="1" applyBorder="1" applyAlignment="1" applyProtection="1">
      <alignment vertical="center" shrinkToFit="1"/>
      <protection hidden="1"/>
    </xf>
    <xf numFmtId="166" fontId="8" fillId="3" borderId="31" xfId="0" applyNumberFormat="1" applyFont="1" applyFill="1" applyBorder="1" applyAlignment="1" applyProtection="1">
      <alignment vertical="center" shrinkToFit="1"/>
      <protection hidden="1"/>
    </xf>
    <xf numFmtId="166" fontId="8" fillId="3" borderId="30" xfId="0" applyNumberFormat="1" applyFont="1" applyFill="1" applyBorder="1" applyAlignment="1" applyProtection="1">
      <alignment vertical="center" shrinkToFit="1"/>
      <protection hidden="1"/>
    </xf>
    <xf numFmtId="166" fontId="8" fillId="3" borderId="38" xfId="0" applyNumberFormat="1" applyFont="1" applyFill="1" applyBorder="1" applyAlignment="1" applyProtection="1">
      <alignment vertical="center" shrinkToFit="1"/>
      <protection hidden="1"/>
    </xf>
    <xf numFmtId="166" fontId="8" fillId="3" borderId="36" xfId="0" applyNumberFormat="1" applyFont="1" applyFill="1" applyBorder="1" applyAlignment="1" applyProtection="1">
      <alignment vertical="center" shrinkToFit="1"/>
      <protection hidden="1"/>
    </xf>
    <xf numFmtId="166" fontId="8" fillId="3" borderId="15" xfId="0" applyNumberFormat="1" applyFont="1" applyFill="1" applyBorder="1" applyAlignment="1" applyProtection="1">
      <alignment vertical="center" shrinkToFit="1"/>
      <protection hidden="1"/>
    </xf>
    <xf numFmtId="0" fontId="15" fillId="3" borderId="33" xfId="0" applyFont="1" applyFill="1" applyBorder="1" applyAlignment="1" applyProtection="1">
      <alignment vertical="center" shrinkToFit="1"/>
      <protection hidden="1"/>
    </xf>
    <xf numFmtId="0" fontId="12" fillId="2" borderId="17" xfId="0" applyFont="1" applyFill="1" applyBorder="1" applyAlignment="1" applyProtection="1">
      <alignment horizontal="center" vertical="center" shrinkToFit="1"/>
      <protection hidden="1"/>
    </xf>
    <xf numFmtId="0" fontId="12" fillId="2" borderId="32" xfId="0" applyFont="1" applyFill="1" applyBorder="1" applyAlignment="1" applyProtection="1">
      <alignment horizontal="center" vertical="center" shrinkToFit="1"/>
      <protection hidden="1"/>
    </xf>
    <xf numFmtId="165" fontId="12" fillId="2" borderId="32" xfId="0" applyNumberFormat="1" applyFont="1" applyFill="1" applyBorder="1" applyAlignment="1" applyProtection="1">
      <alignment horizontal="center" vertical="center" shrinkToFit="1"/>
      <protection hidden="1"/>
    </xf>
    <xf numFmtId="0" fontId="15" fillId="3" borderId="18" xfId="0" applyFont="1" applyFill="1" applyBorder="1" applyAlignment="1" applyProtection="1">
      <alignment vertical="center" shrinkToFit="1"/>
      <protection hidden="1"/>
    </xf>
    <xf numFmtId="0" fontId="6" fillId="3" borderId="33" xfId="0" applyFont="1" applyFill="1" applyBorder="1" applyAlignment="1" applyProtection="1">
      <alignment vertical="center"/>
      <protection hidden="1"/>
    </xf>
    <xf numFmtId="0" fontId="5" fillId="2" borderId="10" xfId="0" applyFont="1" applyFill="1" applyBorder="1" applyAlignment="1">
      <alignment horizontal="center" vertical="center" shrinkToFit="1"/>
    </xf>
    <xf numFmtId="0" fontId="15" fillId="3" borderId="26" xfId="0" applyFont="1" applyFill="1" applyBorder="1" applyAlignment="1" applyProtection="1">
      <alignment vertical="center"/>
      <protection hidden="1"/>
    </xf>
    <xf numFmtId="166" fontId="13" fillId="3" borderId="52" xfId="0" applyNumberFormat="1" applyFont="1" applyFill="1" applyBorder="1" applyAlignment="1" applyProtection="1">
      <alignment vertical="center" textRotation="180" shrinkToFit="1"/>
      <protection hidden="1"/>
    </xf>
    <xf numFmtId="166" fontId="13" fillId="3" borderId="49" xfId="0" applyNumberFormat="1" applyFont="1" applyFill="1" applyBorder="1" applyAlignment="1" applyProtection="1">
      <alignment vertical="center" textRotation="180" shrinkToFit="1"/>
      <protection hidden="1"/>
    </xf>
    <xf numFmtId="166" fontId="13" fillId="3" borderId="18" xfId="0" applyNumberFormat="1" applyFont="1" applyFill="1" applyBorder="1" applyAlignment="1" applyProtection="1">
      <alignment vertical="center" textRotation="180" shrinkToFit="1"/>
      <protection hidden="1"/>
    </xf>
    <xf numFmtId="20" fontId="5" fillId="0" borderId="14" xfId="1" applyNumberFormat="1" applyFont="1" applyBorder="1" applyAlignment="1" applyProtection="1">
      <alignment horizontal="center" vertical="center" shrinkToFit="1"/>
      <protection locked="0" hidden="1"/>
    </xf>
    <xf numFmtId="20" fontId="5" fillId="0" borderId="12" xfId="1" applyNumberFormat="1" applyFont="1" applyBorder="1" applyAlignment="1" applyProtection="1">
      <alignment horizontal="center" vertical="center" shrinkToFit="1"/>
      <protection locked="0" hidden="1"/>
    </xf>
    <xf numFmtId="20" fontId="5" fillId="0" borderId="28" xfId="1" applyNumberFormat="1" applyFont="1" applyBorder="1" applyAlignment="1" applyProtection="1">
      <alignment horizontal="center" vertical="center" shrinkToFit="1"/>
      <protection hidden="1"/>
    </xf>
    <xf numFmtId="166" fontId="5" fillId="5" borderId="55" xfId="0" applyNumberFormat="1" applyFont="1" applyFill="1" applyBorder="1" applyAlignment="1" applyProtection="1">
      <alignment vertical="center" shrinkToFit="1"/>
      <protection hidden="1"/>
    </xf>
    <xf numFmtId="0" fontId="6" fillId="3" borderId="8" xfId="0" applyFont="1" applyFill="1" applyBorder="1" applyAlignment="1" applyProtection="1">
      <alignment vertical="center" shrinkToFit="1"/>
      <protection hidden="1"/>
    </xf>
    <xf numFmtId="0" fontId="5" fillId="8" borderId="34" xfId="0" applyFont="1" applyFill="1" applyBorder="1" applyAlignment="1" applyProtection="1">
      <alignment vertical="center" textRotation="180" shrinkToFit="1"/>
      <protection hidden="1"/>
    </xf>
    <xf numFmtId="0" fontId="5" fillId="8" borderId="6" xfId="0" applyFont="1" applyFill="1" applyBorder="1" applyAlignment="1" applyProtection="1">
      <alignment vertical="center" textRotation="180" shrinkToFit="1"/>
      <protection hidden="1"/>
    </xf>
    <xf numFmtId="0" fontId="5" fillId="8" borderId="50" xfId="0" applyFont="1" applyFill="1" applyBorder="1" applyAlignment="1" applyProtection="1">
      <alignment vertical="center" textRotation="180" shrinkToFit="1"/>
      <protection hidden="1"/>
    </xf>
    <xf numFmtId="0" fontId="5" fillId="0" borderId="0" xfId="0" applyFont="1" applyAlignment="1">
      <alignment vertical="center" shrinkToFit="1"/>
    </xf>
    <xf numFmtId="166" fontId="5" fillId="0" borderId="0" xfId="0" applyNumberFormat="1" applyFont="1" applyAlignment="1">
      <alignment vertical="center" shrinkToFit="1"/>
    </xf>
    <xf numFmtId="0" fontId="5" fillId="0" borderId="0" xfId="0" applyFont="1" applyAlignment="1">
      <alignment horizontal="left" vertical="center" shrinkToFit="1"/>
    </xf>
    <xf numFmtId="166" fontId="8" fillId="3" borderId="44" xfId="0" applyNumberFormat="1" applyFont="1" applyFill="1" applyBorder="1" applyAlignment="1" applyProtection="1">
      <alignment vertical="center" shrinkToFit="1"/>
      <protection hidden="1"/>
    </xf>
    <xf numFmtId="0" fontId="5" fillId="0" borderId="20" xfId="1" applyFont="1" applyBorder="1" applyAlignment="1" applyProtection="1">
      <alignment horizontal="center" vertical="center" shrinkToFit="1"/>
      <protection locked="0" hidden="1"/>
    </xf>
    <xf numFmtId="20" fontId="5" fillId="0" borderId="35" xfId="1" applyNumberFormat="1" applyFont="1" applyBorder="1" applyAlignment="1" applyProtection="1">
      <alignment horizontal="center" vertical="center" shrinkToFit="1"/>
      <protection locked="0" hidden="1"/>
    </xf>
    <xf numFmtId="20" fontId="5" fillId="0" borderId="37" xfId="1" applyNumberFormat="1" applyFont="1" applyBorder="1" applyAlignment="1" applyProtection="1">
      <alignment horizontal="center" vertical="center" shrinkToFit="1"/>
      <protection locked="0" hidden="1"/>
    </xf>
    <xf numFmtId="20" fontId="5" fillId="0" borderId="22" xfId="1" applyNumberFormat="1" applyFont="1" applyBorder="1" applyAlignment="1" applyProtection="1">
      <alignment horizontal="center" vertical="center" shrinkToFit="1"/>
      <protection hidden="1"/>
    </xf>
    <xf numFmtId="20" fontId="5" fillId="0" borderId="13" xfId="1" applyNumberFormat="1" applyFont="1" applyBorder="1" applyAlignment="1" applyProtection="1">
      <alignment horizontal="center" vertical="center" shrinkToFit="1"/>
      <protection locked="0" hidden="1"/>
    </xf>
    <xf numFmtId="20" fontId="5" fillId="0" borderId="29" xfId="1" applyNumberFormat="1" applyFont="1" applyBorder="1" applyAlignment="1" applyProtection="1">
      <alignment horizontal="center" vertical="center" shrinkToFit="1"/>
      <protection hidden="1"/>
    </xf>
    <xf numFmtId="20" fontId="6" fillId="0" borderId="24" xfId="1" applyNumberFormat="1" applyFont="1" applyBorder="1" applyAlignment="1" applyProtection="1">
      <alignment horizontal="center" vertical="center" shrinkToFit="1"/>
      <protection hidden="1"/>
    </xf>
    <xf numFmtId="20" fontId="22" fillId="0" borderId="22" xfId="1" applyNumberFormat="1" applyFont="1" applyBorder="1" applyAlignment="1" applyProtection="1">
      <alignment horizontal="center" vertical="center"/>
      <protection hidden="1"/>
    </xf>
    <xf numFmtId="165" fontId="5" fillId="0" borderId="35" xfId="1" applyNumberFormat="1" applyFont="1" applyBorder="1" applyAlignment="1" applyProtection="1">
      <alignment horizontal="center" vertical="center" shrinkToFit="1"/>
      <protection hidden="1"/>
    </xf>
    <xf numFmtId="20" fontId="6" fillId="0" borderId="23" xfId="1" applyNumberFormat="1" applyFont="1" applyBorder="1" applyAlignment="1" applyProtection="1">
      <alignment horizontal="center" vertical="center" shrinkToFit="1"/>
      <protection hidden="1"/>
    </xf>
    <xf numFmtId="20" fontId="5" fillId="0" borderId="27" xfId="1" applyNumberFormat="1" applyFont="1" applyBorder="1" applyAlignment="1" applyProtection="1">
      <alignment horizontal="center" vertical="center"/>
      <protection hidden="1"/>
    </xf>
    <xf numFmtId="20" fontId="5" fillId="0" borderId="22" xfId="1" applyNumberFormat="1" applyFont="1" applyBorder="1" applyAlignment="1" applyProtection="1">
      <alignment horizontal="center" vertical="center"/>
      <protection hidden="1"/>
    </xf>
    <xf numFmtId="0" fontId="5" fillId="0" borderId="31" xfId="1" applyFont="1" applyBorder="1" applyAlignment="1" applyProtection="1">
      <alignment horizontal="center" vertical="center" shrinkToFit="1"/>
      <protection locked="0" hidden="1"/>
    </xf>
    <xf numFmtId="20" fontId="5" fillId="0" borderId="23" xfId="1" applyNumberFormat="1" applyFont="1" applyBorder="1" applyAlignment="1" applyProtection="1">
      <alignment horizontal="center" vertical="center" shrinkToFit="1"/>
      <protection locked="0" hidden="1"/>
    </xf>
    <xf numFmtId="20" fontId="5" fillId="0" borderId="0" xfId="1" applyNumberFormat="1" applyFont="1" applyAlignment="1" applyProtection="1">
      <alignment horizontal="center" vertical="center" shrinkToFit="1"/>
      <protection hidden="1"/>
    </xf>
    <xf numFmtId="20" fontId="6" fillId="0" borderId="25" xfId="1" applyNumberFormat="1" applyFont="1" applyBorder="1" applyAlignment="1" applyProtection="1">
      <alignment horizontal="center" vertical="center" shrinkToFit="1"/>
      <protection hidden="1"/>
    </xf>
    <xf numFmtId="20" fontId="5" fillId="0" borderId="28" xfId="1" applyNumberFormat="1" applyFont="1" applyBorder="1" applyAlignment="1" applyProtection="1">
      <alignment horizontal="center" vertical="center"/>
      <protection hidden="1"/>
    </xf>
    <xf numFmtId="0" fontId="11" fillId="0" borderId="8" xfId="0" applyFont="1" applyBorder="1" applyAlignment="1" applyProtection="1">
      <alignment vertical="center" shrinkToFit="1"/>
      <protection hidden="1"/>
    </xf>
    <xf numFmtId="0" fontId="19" fillId="0" borderId="20" xfId="0" applyFont="1" applyBorder="1" applyAlignment="1" applyProtection="1">
      <alignment vertical="center" shrinkToFit="1"/>
      <protection hidden="1"/>
    </xf>
    <xf numFmtId="0" fontId="5" fillId="0" borderId="9" xfId="0" applyFont="1" applyBorder="1" applyAlignment="1" applyProtection="1">
      <alignment vertical="center" shrinkToFit="1"/>
      <protection hidden="1"/>
    </xf>
    <xf numFmtId="0" fontId="5" fillId="0" borderId="9" xfId="0" applyFont="1" applyBorder="1" applyAlignment="1" applyProtection="1">
      <alignment horizontal="center" vertical="center" shrinkToFit="1"/>
      <protection hidden="1"/>
    </xf>
    <xf numFmtId="20" fontId="5" fillId="0" borderId="24" xfId="1" applyNumberFormat="1" applyFont="1" applyBorder="1" applyAlignment="1" applyProtection="1">
      <alignment horizontal="center" vertical="center" shrinkToFit="1"/>
      <protection hidden="1"/>
    </xf>
    <xf numFmtId="0" fontId="5" fillId="0" borderId="30" xfId="0" applyFont="1" applyBorder="1" applyAlignment="1" applyProtection="1">
      <alignment vertical="center" shrinkToFit="1"/>
      <protection hidden="1"/>
    </xf>
    <xf numFmtId="0" fontId="5" fillId="0" borderId="15" xfId="0" applyFont="1" applyBorder="1" applyAlignment="1" applyProtection="1">
      <alignment horizontal="center" vertical="center" shrinkToFit="1"/>
      <protection hidden="1"/>
    </xf>
    <xf numFmtId="0" fontId="5" fillId="0" borderId="0" xfId="0" applyFont="1" applyAlignment="1" applyProtection="1">
      <alignment vertical="center" shrinkToFit="1"/>
      <protection hidden="1"/>
    </xf>
    <xf numFmtId="0" fontId="5" fillId="0" borderId="0" xfId="0" applyFont="1" applyAlignment="1" applyProtection="1">
      <alignment horizontal="center" vertical="center" shrinkToFit="1"/>
      <protection hidden="1"/>
    </xf>
    <xf numFmtId="20" fontId="5" fillId="0" borderId="41" xfId="1" applyNumberFormat="1" applyFont="1" applyBorder="1" applyAlignment="1" applyProtection="1">
      <alignment horizontal="center" vertical="center" shrinkToFit="1"/>
      <protection hidden="1"/>
    </xf>
    <xf numFmtId="20" fontId="6" fillId="5" borderId="16" xfId="1" applyNumberFormat="1" applyFont="1" applyFill="1" applyBorder="1" applyAlignment="1" applyProtection="1">
      <alignment horizontal="center" vertical="center" shrinkToFit="1"/>
      <protection hidden="1"/>
    </xf>
    <xf numFmtId="0" fontId="6" fillId="7" borderId="21" xfId="0" quotePrefix="1" applyFont="1" applyFill="1" applyBorder="1" applyAlignment="1" applyProtection="1">
      <alignment horizontal="center" vertical="center" wrapText="1" shrinkToFit="1"/>
      <protection hidden="1"/>
    </xf>
    <xf numFmtId="0" fontId="6" fillId="6" borderId="21" xfId="0" applyFont="1" applyFill="1" applyBorder="1" applyAlignment="1">
      <alignment horizontal="center" vertical="center" wrapText="1" shrinkToFit="1"/>
    </xf>
    <xf numFmtId="0" fontId="10" fillId="0" borderId="20" xfId="0" applyFont="1" applyBorder="1" applyAlignment="1" applyProtection="1">
      <alignment vertical="center" shrinkToFit="1"/>
      <protection hidden="1"/>
    </xf>
    <xf numFmtId="0" fontId="10" fillId="0" borderId="15" xfId="0" applyFont="1" applyBorder="1" applyAlignment="1" applyProtection="1">
      <alignment vertical="center" shrinkToFit="1"/>
      <protection hidden="1"/>
    </xf>
    <xf numFmtId="0" fontId="10" fillId="0" borderId="33" xfId="0" applyFont="1" applyBorder="1" applyAlignment="1" applyProtection="1">
      <alignment vertical="center" shrinkToFit="1"/>
      <protection hidden="1"/>
    </xf>
    <xf numFmtId="0" fontId="10" fillId="5" borderId="38" xfId="0" applyFont="1" applyFill="1" applyBorder="1" applyAlignment="1" applyProtection="1">
      <alignment vertical="center" shrinkToFit="1"/>
      <protection hidden="1"/>
    </xf>
    <xf numFmtId="0" fontId="10" fillId="5" borderId="18" xfId="0" applyFont="1" applyFill="1" applyBorder="1" applyAlignment="1" applyProtection="1">
      <alignment vertical="center" shrinkToFit="1"/>
      <protection hidden="1"/>
    </xf>
    <xf numFmtId="0" fontId="9" fillId="3" borderId="18" xfId="0" applyFont="1" applyFill="1" applyBorder="1" applyAlignment="1" applyProtection="1">
      <alignment vertical="center"/>
      <protection hidden="1"/>
    </xf>
    <xf numFmtId="0" fontId="5" fillId="9" borderId="34" xfId="0" applyFont="1" applyFill="1" applyBorder="1" applyAlignment="1" applyProtection="1">
      <alignment vertical="center" textRotation="180" shrinkToFit="1"/>
      <protection hidden="1"/>
    </xf>
    <xf numFmtId="0" fontId="5" fillId="9" borderId="6" xfId="0" applyFont="1" applyFill="1" applyBorder="1" applyAlignment="1" applyProtection="1">
      <alignment vertical="center" textRotation="180" shrinkToFit="1"/>
      <protection hidden="1"/>
    </xf>
    <xf numFmtId="0" fontId="5" fillId="9" borderId="50" xfId="0" applyFont="1" applyFill="1" applyBorder="1" applyAlignment="1" applyProtection="1">
      <alignment vertical="center" textRotation="180" shrinkToFit="1"/>
      <protection hidden="1"/>
    </xf>
    <xf numFmtId="166" fontId="5" fillId="0" borderId="42" xfId="0" applyNumberFormat="1" applyFont="1" applyBorder="1" applyAlignment="1" applyProtection="1">
      <alignment vertical="center" shrinkToFit="1"/>
      <protection hidden="1"/>
    </xf>
    <xf numFmtId="166" fontId="5" fillId="0" borderId="39" xfId="0" applyNumberFormat="1" applyFont="1" applyBorder="1" applyAlignment="1" applyProtection="1">
      <alignment vertical="center" shrinkToFit="1"/>
      <protection hidden="1"/>
    </xf>
    <xf numFmtId="166" fontId="5" fillId="0" borderId="57" xfId="0" applyNumberFormat="1" applyFont="1" applyBorder="1" applyAlignment="1" applyProtection="1">
      <alignment vertical="center" shrinkToFit="1"/>
      <protection hidden="1"/>
    </xf>
    <xf numFmtId="166" fontId="5" fillId="0" borderId="33" xfId="0" applyNumberFormat="1" applyFont="1" applyBorder="1" applyAlignment="1" applyProtection="1">
      <alignment vertical="center" shrinkToFit="1"/>
      <protection hidden="1"/>
    </xf>
    <xf numFmtId="0" fontId="5" fillId="2" borderId="17" xfId="0" applyFont="1" applyFill="1" applyBorder="1" applyAlignment="1" applyProtection="1">
      <alignment horizontal="center" vertical="center" shrinkToFit="1"/>
      <protection hidden="1"/>
    </xf>
    <xf numFmtId="0" fontId="5" fillId="2" borderId="32" xfId="0" applyFont="1" applyFill="1" applyBorder="1" applyAlignment="1" applyProtection="1">
      <alignment horizontal="center" vertical="center" shrinkToFit="1"/>
      <protection hidden="1"/>
    </xf>
    <xf numFmtId="0" fontId="5" fillId="2" borderId="18" xfId="0" applyFont="1" applyFill="1" applyBorder="1" applyAlignment="1" applyProtection="1">
      <alignment horizontal="center" vertical="center" shrinkToFit="1"/>
      <protection hidden="1"/>
    </xf>
    <xf numFmtId="0" fontId="5" fillId="0" borderId="22" xfId="0" applyFont="1" applyBorder="1" applyAlignment="1" applyProtection="1">
      <alignment vertical="center" shrinkToFit="1"/>
      <protection hidden="1"/>
    </xf>
    <xf numFmtId="0" fontId="5" fillId="0" borderId="30" xfId="0" applyFont="1" applyBorder="1" applyAlignment="1" applyProtection="1">
      <alignment horizontal="center" vertical="center" shrinkToFit="1"/>
      <protection hidden="1"/>
    </xf>
    <xf numFmtId="0" fontId="10" fillId="0" borderId="15" xfId="0" applyFont="1" applyBorder="1" applyAlignment="1" applyProtection="1">
      <alignment vertical="center" wrapText="1" shrinkToFit="1"/>
      <protection hidden="1"/>
    </xf>
    <xf numFmtId="0" fontId="23" fillId="0" borderId="15" xfId="0" applyFont="1" applyBorder="1" applyAlignment="1" applyProtection="1">
      <alignment vertical="center" wrapText="1" shrinkToFit="1"/>
      <protection hidden="1"/>
    </xf>
    <xf numFmtId="166" fontId="8" fillId="3" borderId="41" xfId="0" applyNumberFormat="1" applyFont="1" applyFill="1" applyBorder="1" applyAlignment="1" applyProtection="1">
      <alignment vertical="center" shrinkToFit="1"/>
      <protection hidden="1"/>
    </xf>
    <xf numFmtId="166" fontId="13" fillId="3" borderId="50" xfId="0" applyNumberFormat="1" applyFont="1" applyFill="1" applyBorder="1" applyAlignment="1" applyProtection="1">
      <alignment vertical="center" textRotation="180" shrinkToFit="1"/>
      <protection hidden="1"/>
    </xf>
    <xf numFmtId="0" fontId="5" fillId="0" borderId="23" xfId="0" applyFont="1" applyBorder="1" applyAlignment="1" applyProtection="1">
      <alignment vertical="center" shrinkToFit="1"/>
      <protection hidden="1"/>
    </xf>
    <xf numFmtId="0" fontId="6" fillId="10" borderId="21" xfId="0" applyFont="1" applyFill="1" applyBorder="1" applyAlignment="1">
      <alignment horizontal="center" vertical="center" wrapText="1" shrinkToFit="1"/>
    </xf>
    <xf numFmtId="20" fontId="5" fillId="0" borderId="23" xfId="1" applyNumberFormat="1" applyFont="1" applyBorder="1" applyAlignment="1" applyProtection="1">
      <alignment horizontal="center" vertical="center"/>
      <protection hidden="1"/>
    </xf>
    <xf numFmtId="20" fontId="22" fillId="0" borderId="23" xfId="1" applyNumberFormat="1" applyFont="1" applyBorder="1" applyAlignment="1" applyProtection="1">
      <alignment horizontal="center" vertical="center"/>
      <protection hidden="1"/>
    </xf>
    <xf numFmtId="0" fontId="13" fillId="2" borderId="32" xfId="0" applyFont="1" applyFill="1" applyBorder="1" applyAlignment="1" applyProtection="1">
      <alignment horizontal="center" vertical="center" shrinkToFit="1"/>
      <protection hidden="1"/>
    </xf>
    <xf numFmtId="166" fontId="13" fillId="3" borderId="25" xfId="0" applyNumberFormat="1" applyFont="1" applyFill="1" applyBorder="1" applyAlignment="1" applyProtection="1">
      <alignment vertical="center" shrinkToFit="1"/>
      <protection hidden="1"/>
    </xf>
    <xf numFmtId="0" fontId="13" fillId="2" borderId="17" xfId="0" applyFont="1" applyFill="1" applyBorder="1" applyAlignment="1" applyProtection="1">
      <alignment vertical="center" shrinkToFit="1"/>
      <protection hidden="1"/>
    </xf>
    <xf numFmtId="0" fontId="13" fillId="2" borderId="32" xfId="0" applyFont="1" applyFill="1" applyBorder="1" applyAlignment="1" applyProtection="1">
      <alignment vertical="center" shrinkToFit="1"/>
      <protection hidden="1"/>
    </xf>
    <xf numFmtId="0" fontId="13" fillId="2" borderId="32" xfId="0" applyFont="1" applyFill="1" applyBorder="1" applyAlignment="1" applyProtection="1">
      <alignment horizontal="center" vertical="center"/>
      <protection hidden="1"/>
    </xf>
    <xf numFmtId="166" fontId="20" fillId="3" borderId="32" xfId="0" applyNumberFormat="1" applyFont="1" applyFill="1" applyBorder="1" applyAlignment="1" applyProtection="1">
      <alignment horizontal="center" vertical="center"/>
      <protection hidden="1"/>
    </xf>
    <xf numFmtId="20" fontId="6" fillId="5" borderId="44" xfId="1" applyNumberFormat="1" applyFont="1" applyFill="1" applyBorder="1" applyAlignment="1" applyProtection="1">
      <alignment horizontal="center" vertical="center" shrinkToFit="1"/>
      <protection hidden="1"/>
    </xf>
    <xf numFmtId="20" fontId="6" fillId="5" borderId="37" xfId="1" applyNumberFormat="1" applyFont="1" applyFill="1" applyBorder="1" applyAlignment="1" applyProtection="1">
      <alignment horizontal="center" vertical="center" shrinkToFit="1"/>
      <protection hidden="1"/>
    </xf>
    <xf numFmtId="0" fontId="5" fillId="9" borderId="59" xfId="0" applyFont="1" applyFill="1" applyBorder="1" applyAlignment="1" applyProtection="1">
      <alignment vertical="center" textRotation="180" shrinkToFit="1"/>
      <protection hidden="1"/>
    </xf>
    <xf numFmtId="0" fontId="5" fillId="8" borderId="59" xfId="0" applyFont="1" applyFill="1" applyBorder="1" applyAlignment="1" applyProtection="1">
      <alignment vertical="center" textRotation="180" shrinkToFit="1"/>
      <protection hidden="1"/>
    </xf>
    <xf numFmtId="166" fontId="5" fillId="0" borderId="53" xfId="0" applyNumberFormat="1" applyFont="1" applyBorder="1" applyAlignment="1" applyProtection="1">
      <alignment vertical="center" shrinkToFit="1"/>
      <protection hidden="1"/>
    </xf>
    <xf numFmtId="166" fontId="5" fillId="0" borderId="4" xfId="0" applyNumberFormat="1" applyFont="1" applyBorder="1" applyAlignment="1" applyProtection="1">
      <alignment vertical="center" shrinkToFit="1"/>
      <protection hidden="1"/>
    </xf>
    <xf numFmtId="166" fontId="5" fillId="0" borderId="2" xfId="0" applyNumberFormat="1" applyFont="1" applyBorder="1" applyAlignment="1" applyProtection="1">
      <alignment vertical="center" shrinkToFit="1"/>
      <protection hidden="1"/>
    </xf>
    <xf numFmtId="166" fontId="5" fillId="0" borderId="54" xfId="0" applyNumberFormat="1" applyFont="1" applyBorder="1" applyAlignment="1" applyProtection="1">
      <alignment vertical="center" shrinkToFit="1"/>
      <protection hidden="1"/>
    </xf>
    <xf numFmtId="166" fontId="5" fillId="0" borderId="55" xfId="0" applyNumberFormat="1" applyFont="1" applyBorder="1" applyAlignment="1" applyProtection="1">
      <alignment vertical="center" shrinkToFit="1"/>
      <protection hidden="1"/>
    </xf>
    <xf numFmtId="166" fontId="5" fillId="0" borderId="47" xfId="0" applyNumberFormat="1" applyFont="1" applyBorder="1" applyAlignment="1" applyProtection="1">
      <alignment vertical="center" shrinkToFit="1"/>
      <protection hidden="1"/>
    </xf>
    <xf numFmtId="166" fontId="5" fillId="0" borderId="58" xfId="0" applyNumberFormat="1" applyFont="1" applyBorder="1" applyAlignment="1" applyProtection="1">
      <alignment vertical="center" shrinkToFit="1"/>
      <protection hidden="1"/>
    </xf>
    <xf numFmtId="166" fontId="5" fillId="0" borderId="3" xfId="0" applyNumberFormat="1" applyFont="1" applyBorder="1" applyAlignment="1" applyProtection="1">
      <alignment vertical="center" shrinkToFit="1"/>
      <protection hidden="1"/>
    </xf>
    <xf numFmtId="166" fontId="5" fillId="0" borderId="5" xfId="0" applyNumberFormat="1" applyFont="1" applyBorder="1" applyAlignment="1" applyProtection="1">
      <alignment vertical="center" shrinkToFit="1"/>
      <protection hidden="1"/>
    </xf>
    <xf numFmtId="166" fontId="5" fillId="0" borderId="56" xfId="0" applyNumberFormat="1" applyFont="1" applyBorder="1" applyAlignment="1" applyProtection="1">
      <alignment vertical="center" shrinkToFit="1"/>
      <protection hidden="1"/>
    </xf>
    <xf numFmtId="166" fontId="5" fillId="0" borderId="7" xfId="0" applyNumberFormat="1" applyFont="1" applyBorder="1" applyAlignment="1" applyProtection="1">
      <alignment vertical="center" shrinkToFit="1"/>
      <protection hidden="1"/>
    </xf>
    <xf numFmtId="0" fontId="5" fillId="0" borderId="27" xfId="0" applyFont="1" applyBorder="1" applyAlignment="1" applyProtection="1">
      <alignment vertical="center" shrinkToFit="1"/>
      <protection hidden="1"/>
    </xf>
    <xf numFmtId="166" fontId="5" fillId="5" borderId="7" xfId="0" applyNumberFormat="1" applyFont="1" applyFill="1" applyBorder="1" applyAlignment="1" applyProtection="1">
      <alignment vertical="center" shrinkToFit="1"/>
      <protection hidden="1"/>
    </xf>
    <xf numFmtId="166" fontId="5" fillId="5" borderId="60" xfId="0" applyNumberFormat="1" applyFont="1" applyFill="1" applyBorder="1" applyAlignment="1" applyProtection="1">
      <alignment vertical="center" shrinkToFit="1"/>
      <protection hidden="1"/>
    </xf>
    <xf numFmtId="166" fontId="5" fillId="5" borderId="2" xfId="0" applyNumberFormat="1" applyFont="1" applyFill="1" applyBorder="1" applyAlignment="1" applyProtection="1">
      <alignment vertical="center" shrinkToFit="1"/>
      <protection hidden="1"/>
    </xf>
    <xf numFmtId="166" fontId="5" fillId="5" borderId="42" xfId="0" applyNumberFormat="1" applyFont="1" applyFill="1" applyBorder="1" applyAlignment="1" applyProtection="1">
      <alignment vertical="center" shrinkToFit="1"/>
      <protection hidden="1"/>
    </xf>
    <xf numFmtId="166" fontId="5" fillId="0" borderId="51" xfId="0" applyNumberFormat="1" applyFont="1" applyBorder="1" applyAlignment="1" applyProtection="1">
      <alignment vertical="center" shrinkToFit="1"/>
      <protection hidden="1"/>
    </xf>
    <xf numFmtId="166" fontId="5" fillId="0" borderId="40" xfId="0" applyNumberFormat="1" applyFont="1" applyBorder="1" applyAlignment="1" applyProtection="1">
      <alignment vertical="center" shrinkToFit="1"/>
      <protection hidden="1"/>
    </xf>
    <xf numFmtId="166" fontId="5" fillId="0" borderId="48" xfId="0" applyNumberFormat="1" applyFont="1" applyBorder="1" applyAlignment="1" applyProtection="1">
      <alignment vertical="center" shrinkToFit="1"/>
      <protection hidden="1"/>
    </xf>
    <xf numFmtId="166" fontId="5" fillId="5" borderId="56" xfId="0" applyNumberFormat="1" applyFont="1" applyFill="1" applyBorder="1" applyAlignment="1" applyProtection="1">
      <alignment vertical="center" shrinkToFit="1"/>
      <protection hidden="1"/>
    </xf>
    <xf numFmtId="166" fontId="5" fillId="5" borderId="53" xfId="0" applyNumberFormat="1" applyFont="1" applyFill="1" applyBorder="1" applyAlignment="1" applyProtection="1">
      <alignment vertical="center" shrinkToFit="1"/>
      <protection hidden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20" fontId="22" fillId="3" borderId="23" xfId="1" applyNumberFormat="1" applyFont="1" applyFill="1" applyBorder="1" applyAlignment="1" applyProtection="1">
      <alignment horizontal="center" vertical="center"/>
      <protection hidden="1"/>
    </xf>
    <xf numFmtId="20" fontId="5" fillId="3" borderId="23" xfId="1" applyNumberFormat="1" applyFont="1" applyFill="1" applyBorder="1" applyAlignment="1" applyProtection="1">
      <alignment horizontal="center" vertical="center"/>
      <protection hidden="1"/>
    </xf>
    <xf numFmtId="20" fontId="6" fillId="3" borderId="24" xfId="1" applyNumberFormat="1" applyFont="1" applyFill="1" applyBorder="1" applyAlignment="1" applyProtection="1">
      <alignment horizontal="center" vertical="center" shrinkToFit="1"/>
      <protection hidden="1"/>
    </xf>
    <xf numFmtId="20" fontId="6" fillId="3" borderId="23" xfId="1" applyNumberFormat="1" applyFont="1" applyFill="1" applyBorder="1" applyAlignment="1" applyProtection="1">
      <alignment horizontal="center" vertical="center" shrinkToFit="1"/>
      <protection hidden="1"/>
    </xf>
    <xf numFmtId="20" fontId="6" fillId="3" borderId="25" xfId="1" applyNumberFormat="1" applyFont="1" applyFill="1" applyBorder="1" applyAlignment="1" applyProtection="1">
      <alignment horizontal="center" vertical="center" shrinkToFit="1"/>
      <protection hidden="1"/>
    </xf>
    <xf numFmtId="20" fontId="5" fillId="3" borderId="27" xfId="1" applyNumberFormat="1" applyFont="1" applyFill="1" applyBorder="1" applyAlignment="1" applyProtection="1">
      <alignment horizontal="center" vertical="center" shrinkToFit="1"/>
      <protection locked="0" hidden="1"/>
    </xf>
    <xf numFmtId="20" fontId="5" fillId="3" borderId="35" xfId="1" applyNumberFormat="1" applyFont="1" applyFill="1" applyBorder="1" applyAlignment="1" applyProtection="1">
      <alignment horizontal="center" vertical="center" shrinkToFit="1"/>
      <protection locked="0" hidden="1"/>
    </xf>
    <xf numFmtId="20" fontId="24" fillId="3" borderId="24" xfId="1" applyNumberFormat="1" applyFont="1" applyFill="1" applyBorder="1" applyAlignment="1" applyProtection="1">
      <alignment vertical="center"/>
      <protection hidden="1"/>
    </xf>
    <xf numFmtId="165" fontId="5" fillId="3" borderId="41" xfId="1" applyNumberFormat="1" applyFont="1" applyFill="1" applyBorder="1" applyAlignment="1" applyProtection="1">
      <alignment horizontal="center" vertical="center" shrinkToFit="1"/>
      <protection hidden="1"/>
    </xf>
    <xf numFmtId="20" fontId="5" fillId="3" borderId="27" xfId="1" applyNumberFormat="1" applyFont="1" applyFill="1" applyBorder="1" applyAlignment="1" applyProtection="1">
      <alignment horizontal="center" vertical="center" shrinkToFit="1"/>
      <protection hidden="1"/>
    </xf>
    <xf numFmtId="20" fontId="24" fillId="3" borderId="23" xfId="1" applyNumberFormat="1" applyFont="1" applyFill="1" applyBorder="1" applyAlignment="1" applyProtection="1">
      <alignment vertical="center"/>
      <protection hidden="1"/>
    </xf>
    <xf numFmtId="20" fontId="5" fillId="3" borderId="28" xfId="1" applyNumberFormat="1" applyFont="1" applyFill="1" applyBorder="1" applyAlignment="1" applyProtection="1">
      <alignment horizontal="center" vertical="center" shrinkToFit="1"/>
      <protection locked="0" hidden="1"/>
    </xf>
    <xf numFmtId="20" fontId="5" fillId="3" borderId="23" xfId="1" applyNumberFormat="1" applyFont="1" applyFill="1" applyBorder="1" applyAlignment="1" applyProtection="1">
      <alignment horizontal="center" vertical="center" shrinkToFit="1"/>
      <protection locked="0" hidden="1"/>
    </xf>
    <xf numFmtId="20" fontId="5" fillId="3" borderId="22" xfId="1" applyNumberFormat="1" applyFont="1" applyFill="1" applyBorder="1" applyAlignment="1" applyProtection="1">
      <alignment horizontal="center" vertical="center" shrinkToFit="1"/>
      <protection locked="0" hidden="1"/>
    </xf>
    <xf numFmtId="20" fontId="5" fillId="3" borderId="25" xfId="1" applyNumberFormat="1" applyFont="1" applyFill="1" applyBorder="1" applyAlignment="1" applyProtection="1">
      <alignment horizontal="center" vertical="center" shrinkToFit="1"/>
      <protection locked="0" hidden="1"/>
    </xf>
    <xf numFmtId="20" fontId="24" fillId="3" borderId="25" xfId="1" applyNumberFormat="1" applyFont="1" applyFill="1" applyBorder="1" applyAlignment="1" applyProtection="1">
      <alignment vertical="center"/>
      <protection hidden="1"/>
    </xf>
    <xf numFmtId="20" fontId="5" fillId="3" borderId="8" xfId="1" applyNumberFormat="1" applyFont="1" applyFill="1" applyBorder="1" applyAlignment="1" applyProtection="1">
      <alignment horizontal="center" vertical="center" shrinkToFit="1"/>
      <protection hidden="1"/>
    </xf>
    <xf numFmtId="20" fontId="5" fillId="3" borderId="14" xfId="1" applyNumberFormat="1" applyFont="1" applyFill="1" applyBorder="1" applyAlignment="1" applyProtection="1">
      <alignment horizontal="center" vertical="center" shrinkToFit="1"/>
      <protection hidden="1"/>
    </xf>
    <xf numFmtId="20" fontId="5" fillId="3" borderId="16" xfId="1" applyNumberFormat="1" applyFont="1" applyFill="1" applyBorder="1" applyAlignment="1" applyProtection="1">
      <alignment horizontal="center" vertical="center" shrinkToFit="1"/>
      <protection hidden="1"/>
    </xf>
    <xf numFmtId="20" fontId="5" fillId="3" borderId="17" xfId="1" applyNumberFormat="1" applyFont="1" applyFill="1" applyBorder="1" applyAlignment="1" applyProtection="1">
      <alignment horizontal="center" vertical="center" shrinkToFit="1"/>
      <protection hidden="1"/>
    </xf>
    <xf numFmtId="20" fontId="6" fillId="3" borderId="20" xfId="1" applyNumberFormat="1" applyFont="1" applyFill="1" applyBorder="1" applyAlignment="1" applyProtection="1">
      <alignment horizontal="center" vertical="center" shrinkToFit="1"/>
      <protection hidden="1"/>
    </xf>
    <xf numFmtId="20" fontId="6" fillId="3" borderId="33" xfId="1" applyNumberFormat="1" applyFont="1" applyFill="1" applyBorder="1" applyAlignment="1" applyProtection="1">
      <alignment horizontal="center" vertical="center" shrinkToFit="1"/>
      <protection hidden="1"/>
    </xf>
    <xf numFmtId="0" fontId="6" fillId="2" borderId="20" xfId="0" applyFont="1" applyFill="1" applyBorder="1" applyAlignment="1" applyProtection="1">
      <alignment vertical="center" wrapText="1" shrinkToFit="1"/>
      <protection hidden="1"/>
    </xf>
    <xf numFmtId="0" fontId="6" fillId="2" borderId="24" xfId="0" quotePrefix="1" applyFont="1" applyFill="1" applyBorder="1" applyAlignment="1" applyProtection="1">
      <alignment vertical="center" shrinkToFit="1"/>
      <protection hidden="1"/>
    </xf>
    <xf numFmtId="0" fontId="6" fillId="2" borderId="9" xfId="0" applyFont="1" applyFill="1" applyBorder="1" applyAlignment="1" applyProtection="1">
      <alignment vertical="center" wrapText="1" shrinkToFit="1"/>
      <protection hidden="1"/>
    </xf>
    <xf numFmtId="0" fontId="6" fillId="2" borderId="24" xfId="0" applyFont="1" applyFill="1" applyBorder="1" applyAlignment="1" applyProtection="1">
      <alignment vertical="center" shrinkToFit="1"/>
      <protection hidden="1"/>
    </xf>
    <xf numFmtId="0" fontId="5" fillId="0" borderId="33" xfId="1" applyFont="1" applyBorder="1" applyAlignment="1" applyProtection="1">
      <alignment horizontal="center" vertical="center" shrinkToFit="1"/>
      <protection locked="0" hidden="1"/>
    </xf>
    <xf numFmtId="0" fontId="6" fillId="7" borderId="24" xfId="0" quotePrefix="1" applyFont="1" applyFill="1" applyBorder="1" applyAlignment="1" applyProtection="1">
      <alignment horizontal="center" vertical="center" wrapText="1" shrinkToFit="1"/>
      <protection hidden="1"/>
    </xf>
    <xf numFmtId="0" fontId="5" fillId="3" borderId="35" xfId="1" applyFont="1" applyFill="1" applyBorder="1" applyAlignment="1" applyProtection="1">
      <alignment horizontal="center" vertical="center" shrinkToFit="1"/>
      <protection locked="0" hidden="1"/>
    </xf>
    <xf numFmtId="0" fontId="22" fillId="3" borderId="27" xfId="1" applyFont="1" applyFill="1" applyBorder="1" applyAlignment="1" applyProtection="1">
      <alignment horizontal="center" vertical="center" shrinkToFit="1"/>
      <protection locked="0" hidden="1"/>
    </xf>
    <xf numFmtId="0" fontId="5" fillId="3" borderId="27" xfId="1" applyFont="1" applyFill="1" applyBorder="1" applyAlignment="1" applyProtection="1">
      <alignment horizontal="center" vertical="center" shrinkToFit="1"/>
      <protection locked="0" hidden="1"/>
    </xf>
    <xf numFmtId="0" fontId="5" fillId="3" borderId="41" xfId="1" applyFont="1" applyFill="1" applyBorder="1" applyAlignment="1" applyProtection="1">
      <alignment horizontal="center" vertical="center" shrinkToFit="1"/>
      <protection locked="0" hidden="1"/>
    </xf>
    <xf numFmtId="0" fontId="22" fillId="0" borderId="27" xfId="1" applyFont="1" applyBorder="1" applyAlignment="1" applyProtection="1">
      <alignment horizontal="center" vertical="center" shrinkToFit="1"/>
      <protection locked="0" hidden="1"/>
    </xf>
    <xf numFmtId="0" fontId="5" fillId="3" borderId="41" xfId="1" quotePrefix="1" applyFont="1" applyFill="1" applyBorder="1" applyAlignment="1" applyProtection="1">
      <alignment horizontal="center" vertical="center" shrinkToFit="1"/>
      <protection locked="0" hidden="1"/>
    </xf>
    <xf numFmtId="20" fontId="22" fillId="0" borderId="13" xfId="1" applyNumberFormat="1" applyFont="1" applyBorder="1" applyAlignment="1" applyProtection="1">
      <alignment horizontal="center" vertical="center"/>
      <protection hidden="1"/>
    </xf>
    <xf numFmtId="20" fontId="5" fillId="0" borderId="33" xfId="1" applyNumberFormat="1" applyFont="1" applyBorder="1" applyAlignment="1" applyProtection="1">
      <alignment horizontal="center" vertical="center"/>
      <protection hidden="1"/>
    </xf>
    <xf numFmtId="20" fontId="5" fillId="3" borderId="15" xfId="1" applyNumberFormat="1" applyFont="1" applyFill="1" applyBorder="1" applyAlignment="1" applyProtection="1">
      <alignment horizontal="center" vertical="center"/>
      <protection hidden="1"/>
    </xf>
    <xf numFmtId="20" fontId="5" fillId="3" borderId="33" xfId="1" applyNumberFormat="1" applyFont="1" applyFill="1" applyBorder="1" applyAlignment="1" applyProtection="1">
      <alignment horizontal="center" vertical="center"/>
      <protection hidden="1"/>
    </xf>
    <xf numFmtId="20" fontId="5" fillId="5" borderId="37" xfId="1" applyNumberFormat="1" applyFont="1" applyFill="1" applyBorder="1" applyAlignment="1" applyProtection="1">
      <alignment horizontal="center" vertical="center" shrinkToFit="1"/>
      <protection hidden="1"/>
    </xf>
    <xf numFmtId="165" fontId="5" fillId="5" borderId="41" xfId="1" applyNumberFormat="1" applyFont="1" applyFill="1" applyBorder="1" applyAlignment="1" applyProtection="1">
      <alignment horizontal="center" vertical="center" shrinkToFit="1"/>
      <protection hidden="1"/>
    </xf>
    <xf numFmtId="20" fontId="5" fillId="5" borderId="16" xfId="1" applyNumberFormat="1" applyFont="1" applyFill="1" applyBorder="1" applyAlignment="1" applyProtection="1">
      <alignment horizontal="center" vertical="center" shrinkToFit="1"/>
      <protection hidden="1"/>
    </xf>
    <xf numFmtId="0" fontId="6" fillId="5" borderId="41" xfId="1" applyFont="1" applyFill="1" applyBorder="1" applyAlignment="1" applyProtection="1">
      <alignment horizontal="center" vertical="center" shrinkToFit="1"/>
      <protection locked="0" hidden="1"/>
    </xf>
    <xf numFmtId="0" fontId="6" fillId="5" borderId="35" xfId="1" applyFont="1" applyFill="1" applyBorder="1" applyAlignment="1" applyProtection="1">
      <alignment horizontal="center" vertical="center" shrinkToFit="1"/>
      <protection locked="0" hidden="1"/>
    </xf>
    <xf numFmtId="20" fontId="5" fillId="3" borderId="43" xfId="1" applyNumberFormat="1" applyFont="1" applyFill="1" applyBorder="1" applyAlignment="1" applyProtection="1">
      <alignment horizontal="center" vertical="center" shrinkToFit="1"/>
      <protection locked="0" hidden="1"/>
    </xf>
    <xf numFmtId="20" fontId="5" fillId="3" borderId="30" xfId="1" applyNumberFormat="1" applyFont="1" applyFill="1" applyBorder="1" applyAlignment="1" applyProtection="1">
      <alignment horizontal="center" vertical="center" shrinkToFit="1"/>
      <protection locked="0" hidden="1"/>
    </xf>
    <xf numFmtId="20" fontId="5" fillId="3" borderId="46" xfId="1" applyNumberFormat="1" applyFont="1" applyFill="1" applyBorder="1" applyAlignment="1" applyProtection="1">
      <alignment horizontal="center" vertical="center" shrinkToFit="1"/>
      <protection locked="0" hidden="1"/>
    </xf>
    <xf numFmtId="20" fontId="6" fillId="5" borderId="43" xfId="1" applyNumberFormat="1" applyFont="1" applyFill="1" applyBorder="1" applyAlignment="1" applyProtection="1">
      <alignment horizontal="center" vertical="center" shrinkToFit="1"/>
      <protection locked="0" hidden="1"/>
    </xf>
    <xf numFmtId="20" fontId="6" fillId="5" borderId="46" xfId="1" applyNumberFormat="1" applyFont="1" applyFill="1" applyBorder="1" applyAlignment="1" applyProtection="1">
      <alignment horizontal="center" vertical="center" shrinkToFit="1"/>
      <protection locked="0" hidden="1"/>
    </xf>
    <xf numFmtId="20" fontId="5" fillId="3" borderId="43" xfId="1" applyNumberFormat="1" applyFont="1" applyFill="1" applyBorder="1" applyAlignment="1" applyProtection="1">
      <alignment horizontal="center" vertical="center" shrinkToFit="1"/>
      <protection hidden="1"/>
    </xf>
    <xf numFmtId="20" fontId="5" fillId="3" borderId="30" xfId="1" applyNumberFormat="1" applyFont="1" applyFill="1" applyBorder="1" applyAlignment="1" applyProtection="1">
      <alignment horizontal="center" vertical="center" shrinkToFit="1"/>
      <protection hidden="1"/>
    </xf>
    <xf numFmtId="20" fontId="5" fillId="3" borderId="46" xfId="1" applyNumberFormat="1" applyFont="1" applyFill="1" applyBorder="1" applyAlignment="1" applyProtection="1">
      <alignment horizontal="center" vertical="center" shrinkToFit="1"/>
      <protection hidden="1"/>
    </xf>
    <xf numFmtId="20" fontId="5" fillId="3" borderId="41" xfId="1" applyNumberFormat="1" applyFont="1" applyFill="1" applyBorder="1" applyAlignment="1" applyProtection="1">
      <alignment horizontal="center" vertical="center" shrinkToFit="1"/>
      <protection locked="0" hidden="1"/>
    </xf>
    <xf numFmtId="20" fontId="5" fillId="5" borderId="43" xfId="1" applyNumberFormat="1" applyFont="1" applyFill="1" applyBorder="1" applyAlignment="1" applyProtection="1">
      <alignment horizontal="center" vertical="center" shrinkToFit="1"/>
      <protection hidden="1"/>
    </xf>
    <xf numFmtId="20" fontId="5" fillId="5" borderId="46" xfId="1" applyNumberFormat="1" applyFont="1" applyFill="1" applyBorder="1" applyAlignment="1" applyProtection="1">
      <alignment horizontal="center" vertical="center" shrinkToFit="1"/>
      <protection hidden="1"/>
    </xf>
    <xf numFmtId="20" fontId="5" fillId="5" borderId="38" xfId="1" applyNumberFormat="1" applyFont="1" applyFill="1" applyBorder="1" applyAlignment="1" applyProtection="1">
      <alignment horizontal="center" vertical="center" shrinkToFit="1"/>
      <protection hidden="1"/>
    </xf>
    <xf numFmtId="20" fontId="5" fillId="5" borderId="45" xfId="1" applyNumberFormat="1" applyFont="1" applyFill="1" applyBorder="1" applyAlignment="1" applyProtection="1">
      <alignment horizontal="center" vertical="center" shrinkToFit="1"/>
      <protection hidden="1"/>
    </xf>
    <xf numFmtId="20" fontId="6" fillId="0" borderId="18" xfId="1" applyNumberFormat="1" applyFont="1" applyBorder="1" applyAlignment="1" applyProtection="1">
      <alignment horizontal="center" vertical="center" shrinkToFit="1"/>
      <protection hidden="1"/>
    </xf>
    <xf numFmtId="20" fontId="5" fillId="3" borderId="35" xfId="1" applyNumberFormat="1" applyFont="1" applyFill="1" applyBorder="1" applyAlignment="1" applyProtection="1">
      <alignment horizontal="center" vertical="center" shrinkToFit="1"/>
      <protection hidden="1"/>
    </xf>
    <xf numFmtId="20" fontId="5" fillId="3" borderId="41" xfId="1" applyNumberFormat="1" applyFont="1" applyFill="1" applyBorder="1" applyAlignment="1" applyProtection="1">
      <alignment horizontal="center" vertical="center" shrinkToFit="1"/>
      <protection hidden="1"/>
    </xf>
    <xf numFmtId="0" fontId="11" fillId="14" borderId="19" xfId="0" applyFont="1" applyFill="1" applyBorder="1" applyAlignment="1" applyProtection="1">
      <alignment vertical="center" shrinkToFit="1"/>
      <protection hidden="1"/>
    </xf>
    <xf numFmtId="0" fontId="19" fillId="14" borderId="33" xfId="0" applyFont="1" applyFill="1" applyBorder="1" applyAlignment="1" applyProtection="1">
      <alignment vertical="center" shrinkToFit="1"/>
      <protection hidden="1"/>
    </xf>
    <xf numFmtId="0" fontId="10" fillId="14" borderId="20" xfId="0" applyFont="1" applyFill="1" applyBorder="1" applyAlignment="1" applyProtection="1">
      <alignment vertical="center" shrinkToFit="1"/>
      <protection hidden="1"/>
    </xf>
    <xf numFmtId="0" fontId="5" fillId="14" borderId="9" xfId="0" applyFont="1" applyFill="1" applyBorder="1" applyAlignment="1" applyProtection="1">
      <alignment vertical="center" shrinkToFit="1"/>
      <protection hidden="1"/>
    </xf>
    <xf numFmtId="0" fontId="5" fillId="14" borderId="22" xfId="0" applyFont="1" applyFill="1" applyBorder="1" applyAlignment="1" applyProtection="1">
      <alignment vertical="center" shrinkToFit="1"/>
      <protection hidden="1"/>
    </xf>
    <xf numFmtId="0" fontId="5" fillId="14" borderId="9" xfId="0" applyFont="1" applyFill="1" applyBorder="1" applyAlignment="1" applyProtection="1">
      <alignment horizontal="center" vertical="center" shrinkToFit="1"/>
      <protection hidden="1"/>
    </xf>
    <xf numFmtId="20" fontId="5" fillId="14" borderId="27" xfId="1" applyNumberFormat="1" applyFont="1" applyFill="1" applyBorder="1" applyAlignment="1" applyProtection="1">
      <alignment horizontal="center" vertical="center" shrinkToFit="1"/>
      <protection locked="0" hidden="1"/>
    </xf>
    <xf numFmtId="20" fontId="5" fillId="14" borderId="24" xfId="1" applyNumberFormat="1" applyFont="1" applyFill="1" applyBorder="1" applyAlignment="1" applyProtection="1">
      <alignment horizontal="center" vertical="center" shrinkToFit="1"/>
      <protection hidden="1"/>
    </xf>
    <xf numFmtId="0" fontId="5" fillId="14" borderId="20" xfId="1" applyFont="1" applyFill="1" applyBorder="1" applyAlignment="1" applyProtection="1">
      <alignment horizontal="center" vertical="center" shrinkToFit="1"/>
      <protection locked="0" hidden="1"/>
    </xf>
    <xf numFmtId="20" fontId="5" fillId="14" borderId="43" xfId="1" applyNumberFormat="1" applyFont="1" applyFill="1" applyBorder="1" applyAlignment="1" applyProtection="1">
      <alignment horizontal="center" vertical="center" shrinkToFit="1"/>
      <protection locked="0" hidden="1"/>
    </xf>
    <xf numFmtId="20" fontId="5" fillId="14" borderId="35" xfId="1" applyNumberFormat="1" applyFont="1" applyFill="1" applyBorder="1" applyAlignment="1" applyProtection="1">
      <alignment horizontal="center" vertical="center" shrinkToFit="1"/>
      <protection locked="0" hidden="1"/>
    </xf>
    <xf numFmtId="20" fontId="5" fillId="14" borderId="43" xfId="1" applyNumberFormat="1" applyFont="1" applyFill="1" applyBorder="1" applyAlignment="1" applyProtection="1">
      <alignment horizontal="center" vertical="center" shrinkToFit="1"/>
      <protection hidden="1"/>
    </xf>
    <xf numFmtId="20" fontId="5" fillId="14" borderId="35" xfId="1" applyNumberFormat="1" applyFont="1" applyFill="1" applyBorder="1" applyAlignment="1" applyProtection="1">
      <alignment horizontal="center" vertical="center" shrinkToFit="1"/>
      <protection hidden="1"/>
    </xf>
    <xf numFmtId="20" fontId="6" fillId="14" borderId="20" xfId="1" applyNumberFormat="1" applyFont="1" applyFill="1" applyBorder="1" applyAlignment="1" applyProtection="1">
      <alignment horizontal="center" vertical="center" shrinkToFit="1"/>
      <protection hidden="1"/>
    </xf>
    <xf numFmtId="20" fontId="24" fillId="14" borderId="24" xfId="1" applyNumberFormat="1" applyFont="1" applyFill="1" applyBorder="1" applyAlignment="1" applyProtection="1">
      <alignment vertical="center"/>
      <protection hidden="1"/>
    </xf>
    <xf numFmtId="165" fontId="5" fillId="14" borderId="41" xfId="1" applyNumberFormat="1" applyFont="1" applyFill="1" applyBorder="1" applyAlignment="1" applyProtection="1">
      <alignment horizontal="center" vertical="center" shrinkToFit="1"/>
      <protection hidden="1"/>
    </xf>
    <xf numFmtId="0" fontId="11" fillId="14" borderId="16" xfId="0" applyFont="1" applyFill="1" applyBorder="1" applyAlignment="1" applyProtection="1">
      <alignment vertical="center" shrinkToFit="1"/>
      <protection hidden="1"/>
    </xf>
    <xf numFmtId="0" fontId="19" fillId="14" borderId="36" xfId="0" applyFont="1" applyFill="1" applyBorder="1" applyAlignment="1" applyProtection="1">
      <alignment vertical="center" shrinkToFit="1"/>
      <protection hidden="1"/>
    </xf>
    <xf numFmtId="0" fontId="10" fillId="14" borderId="15" xfId="0" applyFont="1" applyFill="1" applyBorder="1" applyAlignment="1" applyProtection="1">
      <alignment vertical="center" shrinkToFit="1"/>
      <protection hidden="1"/>
    </xf>
    <xf numFmtId="0" fontId="5" fillId="14" borderId="30" xfId="0" applyFont="1" applyFill="1" applyBorder="1" applyAlignment="1" applyProtection="1">
      <alignment vertical="center" shrinkToFit="1"/>
      <protection hidden="1"/>
    </xf>
    <xf numFmtId="0" fontId="5" fillId="14" borderId="27" xfId="0" applyFont="1" applyFill="1" applyBorder="1" applyAlignment="1" applyProtection="1">
      <alignment vertical="center" shrinkToFit="1"/>
      <protection hidden="1"/>
    </xf>
    <xf numFmtId="0" fontId="5" fillId="14" borderId="15" xfId="0" applyFont="1" applyFill="1" applyBorder="1" applyAlignment="1" applyProtection="1">
      <alignment horizontal="center" vertical="center" shrinkToFit="1"/>
      <protection hidden="1"/>
    </xf>
    <xf numFmtId="20" fontId="5" fillId="14" borderId="27" xfId="1" applyNumberFormat="1" applyFont="1" applyFill="1" applyBorder="1" applyAlignment="1" applyProtection="1">
      <alignment horizontal="center" vertical="center" shrinkToFit="1"/>
      <protection hidden="1"/>
    </xf>
    <xf numFmtId="0" fontId="22" fillId="14" borderId="15" xfId="1" applyFont="1" applyFill="1" applyBorder="1" applyAlignment="1" applyProtection="1">
      <alignment horizontal="center" vertical="center" shrinkToFit="1"/>
      <protection locked="0" hidden="1"/>
    </xf>
    <xf numFmtId="20" fontId="5" fillId="14" borderId="30" xfId="1" applyNumberFormat="1" applyFont="1" applyFill="1" applyBorder="1" applyAlignment="1" applyProtection="1">
      <alignment horizontal="center" vertical="center" shrinkToFit="1"/>
      <protection locked="0" hidden="1"/>
    </xf>
    <xf numFmtId="20" fontId="5" fillId="14" borderId="30" xfId="1" applyNumberFormat="1" applyFont="1" applyFill="1" applyBorder="1" applyAlignment="1" applyProtection="1">
      <alignment horizontal="center" vertical="center" shrinkToFit="1"/>
      <protection hidden="1"/>
    </xf>
    <xf numFmtId="0" fontId="5" fillId="14" borderId="27" xfId="1" applyFont="1" applyFill="1" applyBorder="1" applyAlignment="1" applyProtection="1">
      <alignment horizontal="center" vertical="center" shrinkToFit="1"/>
      <protection locked="0" hidden="1"/>
    </xf>
    <xf numFmtId="20" fontId="6" fillId="14" borderId="33" xfId="1" applyNumberFormat="1" applyFont="1" applyFill="1" applyBorder="1" applyAlignment="1" applyProtection="1">
      <alignment horizontal="center" vertical="center" shrinkToFit="1"/>
      <protection hidden="1"/>
    </xf>
    <xf numFmtId="20" fontId="5" fillId="14" borderId="13" xfId="1" applyNumberFormat="1" applyFont="1" applyFill="1" applyBorder="1" applyAlignment="1" applyProtection="1">
      <alignment horizontal="center" vertical="center" shrinkToFit="1"/>
      <protection locked="0" hidden="1"/>
    </xf>
    <xf numFmtId="20" fontId="24" fillId="14" borderId="23" xfId="1" applyNumberFormat="1" applyFont="1" applyFill="1" applyBorder="1" applyAlignment="1" applyProtection="1">
      <alignment vertical="center"/>
      <protection hidden="1"/>
    </xf>
    <xf numFmtId="0" fontId="5" fillId="14" borderId="30" xfId="0" applyFont="1" applyFill="1" applyBorder="1" applyAlignment="1" applyProtection="1">
      <alignment horizontal="center" vertical="center" shrinkToFit="1"/>
      <protection hidden="1"/>
    </xf>
    <xf numFmtId="0" fontId="22" fillId="14" borderId="27" xfId="1" applyFont="1" applyFill="1" applyBorder="1" applyAlignment="1" applyProtection="1">
      <alignment horizontal="center" vertical="center" shrinkToFit="1"/>
      <protection locked="0" hidden="1"/>
    </xf>
    <xf numFmtId="20" fontId="5" fillId="14" borderId="33" xfId="1" applyNumberFormat="1" applyFont="1" applyFill="1" applyBorder="1" applyAlignment="1" applyProtection="1">
      <alignment horizontal="center" vertical="center"/>
      <protection hidden="1"/>
    </xf>
    <xf numFmtId="20" fontId="5" fillId="14" borderId="23" xfId="1" applyNumberFormat="1" applyFont="1" applyFill="1" applyBorder="1" applyAlignment="1" applyProtection="1">
      <alignment horizontal="center" vertical="center" shrinkToFit="1"/>
      <protection locked="0" hidden="1"/>
    </xf>
    <xf numFmtId="0" fontId="11" fillId="14" borderId="14" xfId="0" applyFont="1" applyFill="1" applyBorder="1" applyAlignment="1" applyProtection="1">
      <alignment vertical="center" shrinkToFit="1"/>
      <protection hidden="1"/>
    </xf>
    <xf numFmtId="0" fontId="19" fillId="14" borderId="15" xfId="0" applyFont="1" applyFill="1" applyBorder="1" applyAlignment="1" applyProtection="1">
      <alignment vertical="center" shrinkToFit="1"/>
      <protection hidden="1"/>
    </xf>
    <xf numFmtId="0" fontId="10" fillId="14" borderId="15" xfId="0" applyFont="1" applyFill="1" applyBorder="1" applyAlignment="1" applyProtection="1">
      <alignment vertical="center" wrapText="1" shrinkToFit="1"/>
      <protection hidden="1"/>
    </xf>
    <xf numFmtId="0" fontId="5" fillId="14" borderId="15" xfId="1" applyFont="1" applyFill="1" applyBorder="1" applyAlignment="1" applyProtection="1">
      <alignment horizontal="center" vertical="center" shrinkToFit="1"/>
      <protection locked="0" hidden="1"/>
    </xf>
    <xf numFmtId="20" fontId="5" fillId="14" borderId="15" xfId="1" applyNumberFormat="1" applyFont="1" applyFill="1" applyBorder="1" applyAlignment="1" applyProtection="1">
      <alignment horizontal="center" vertical="center"/>
      <protection hidden="1"/>
    </xf>
    <xf numFmtId="0" fontId="10" fillId="14" borderId="33" xfId="0" applyFont="1" applyFill="1" applyBorder="1" applyAlignment="1" applyProtection="1">
      <alignment vertical="center" shrinkToFit="1"/>
      <protection hidden="1"/>
    </xf>
    <xf numFmtId="0" fontId="5" fillId="14" borderId="0" xfId="0" applyFont="1" applyFill="1" applyAlignment="1" applyProtection="1">
      <alignment vertical="center" shrinkToFit="1"/>
      <protection hidden="1"/>
    </xf>
    <xf numFmtId="0" fontId="5" fillId="14" borderId="23" xfId="0" applyFont="1" applyFill="1" applyBorder="1" applyAlignment="1" applyProtection="1">
      <alignment vertical="center" shrinkToFit="1"/>
      <protection hidden="1"/>
    </xf>
    <xf numFmtId="0" fontId="5" fillId="14" borderId="0" xfId="0" applyFont="1" applyFill="1" applyAlignment="1" applyProtection="1">
      <alignment horizontal="center" vertical="center" shrinkToFit="1"/>
      <protection hidden="1"/>
    </xf>
    <xf numFmtId="20" fontId="5" fillId="14" borderId="41" xfId="1" applyNumberFormat="1" applyFont="1" applyFill="1" applyBorder="1" applyAlignment="1" applyProtection="1">
      <alignment horizontal="center" vertical="center" shrinkToFit="1"/>
      <protection hidden="1"/>
    </xf>
    <xf numFmtId="0" fontId="22" fillId="14" borderId="36" xfId="1" applyFont="1" applyFill="1" applyBorder="1" applyAlignment="1" applyProtection="1">
      <alignment horizontal="center" vertical="center" shrinkToFit="1"/>
      <protection locked="0" hidden="1"/>
    </xf>
    <xf numFmtId="20" fontId="5" fillId="14" borderId="46" xfId="1" applyNumberFormat="1" applyFont="1" applyFill="1" applyBorder="1" applyAlignment="1" applyProtection="1">
      <alignment horizontal="center" vertical="center" shrinkToFit="1"/>
      <protection locked="0" hidden="1"/>
    </xf>
    <xf numFmtId="20" fontId="5" fillId="14" borderId="41" xfId="1" applyNumberFormat="1" applyFont="1" applyFill="1" applyBorder="1" applyAlignment="1" applyProtection="1">
      <alignment horizontal="center" vertical="center" shrinkToFit="1"/>
      <protection locked="0" hidden="1"/>
    </xf>
    <xf numFmtId="20" fontId="5" fillId="14" borderId="46" xfId="1" applyNumberFormat="1" applyFont="1" applyFill="1" applyBorder="1" applyAlignment="1" applyProtection="1">
      <alignment horizontal="center" vertical="center" shrinkToFit="1"/>
      <protection hidden="1"/>
    </xf>
    <xf numFmtId="0" fontId="5" fillId="14" borderId="41" xfId="1" quotePrefix="1" applyFont="1" applyFill="1" applyBorder="1" applyAlignment="1" applyProtection="1">
      <alignment horizontal="center" vertical="center" shrinkToFit="1"/>
      <protection locked="0" hidden="1"/>
    </xf>
    <xf numFmtId="20" fontId="6" fillId="14" borderId="18" xfId="1" applyNumberFormat="1" applyFont="1" applyFill="1" applyBorder="1" applyAlignment="1" applyProtection="1">
      <alignment horizontal="center" vertical="center" shrinkToFit="1"/>
      <protection hidden="1"/>
    </xf>
    <xf numFmtId="20" fontId="24" fillId="14" borderId="25" xfId="1" applyNumberFormat="1" applyFont="1" applyFill="1" applyBorder="1" applyAlignment="1" applyProtection="1">
      <alignment vertical="center"/>
      <protection hidden="1"/>
    </xf>
    <xf numFmtId="166" fontId="5" fillId="10" borderId="5" xfId="0" applyNumberFormat="1" applyFont="1" applyFill="1" applyBorder="1" applyAlignment="1" applyProtection="1">
      <alignment vertical="center" shrinkToFit="1"/>
      <protection hidden="1"/>
    </xf>
    <xf numFmtId="166" fontId="5" fillId="10" borderId="7" xfId="0" applyNumberFormat="1" applyFont="1" applyFill="1" applyBorder="1" applyAlignment="1" applyProtection="1">
      <alignment vertical="center" shrinkToFit="1"/>
      <protection hidden="1"/>
    </xf>
    <xf numFmtId="166" fontId="5" fillId="10" borderId="4" xfId="0" applyNumberFormat="1" applyFont="1" applyFill="1" applyBorder="1" applyAlignment="1" applyProtection="1">
      <alignment vertical="center" shrinkToFit="1"/>
      <protection hidden="1"/>
    </xf>
    <xf numFmtId="166" fontId="5" fillId="10" borderId="47" xfId="0" applyNumberFormat="1" applyFont="1" applyFill="1" applyBorder="1" applyAlignment="1" applyProtection="1">
      <alignment vertical="center" shrinkToFit="1"/>
      <protection hidden="1"/>
    </xf>
    <xf numFmtId="166" fontId="5" fillId="10" borderId="2" xfId="0" applyNumberFormat="1" applyFont="1" applyFill="1" applyBorder="1" applyAlignment="1" applyProtection="1">
      <alignment vertical="center" shrinkToFit="1"/>
      <protection hidden="1"/>
    </xf>
    <xf numFmtId="166" fontId="5" fillId="10" borderId="53" xfId="0" applyNumberFormat="1" applyFont="1" applyFill="1" applyBorder="1" applyAlignment="1" applyProtection="1">
      <alignment vertical="center" shrinkToFit="1"/>
      <protection hidden="1"/>
    </xf>
    <xf numFmtId="166" fontId="5" fillId="10" borderId="56" xfId="0" applyNumberFormat="1" applyFont="1" applyFill="1" applyBorder="1" applyAlignment="1" applyProtection="1">
      <alignment vertical="center" shrinkToFit="1"/>
      <protection hidden="1"/>
    </xf>
    <xf numFmtId="166" fontId="5" fillId="10" borderId="51" xfId="0" applyNumberFormat="1" applyFont="1" applyFill="1" applyBorder="1" applyAlignment="1" applyProtection="1">
      <alignment vertical="center" shrinkToFit="1"/>
      <protection hidden="1"/>
    </xf>
    <xf numFmtId="166" fontId="5" fillId="10" borderId="55" xfId="0" applyNumberFormat="1" applyFont="1" applyFill="1" applyBorder="1" applyAlignment="1" applyProtection="1">
      <alignment vertical="center" shrinkToFit="1"/>
      <protection hidden="1"/>
    </xf>
    <xf numFmtId="0" fontId="5" fillId="9" borderId="65" xfId="0" applyFont="1" applyFill="1" applyBorder="1" applyAlignment="1" applyProtection="1">
      <alignment vertical="center" textRotation="180" shrinkToFit="1"/>
      <protection hidden="1"/>
    </xf>
    <xf numFmtId="166" fontId="5" fillId="0" borderId="64" xfId="0" applyNumberFormat="1" applyFont="1" applyBorder="1" applyAlignment="1" applyProtection="1">
      <alignment vertical="center" shrinkToFit="1"/>
      <protection hidden="1"/>
    </xf>
    <xf numFmtId="166" fontId="5" fillId="0" borderId="66" xfId="0" applyNumberFormat="1" applyFont="1" applyBorder="1" applyAlignment="1" applyProtection="1">
      <alignment vertical="center" shrinkToFit="1"/>
      <protection hidden="1"/>
    </xf>
    <xf numFmtId="166" fontId="5" fillId="5" borderId="61" xfId="0" applyNumberFormat="1" applyFont="1" applyFill="1" applyBorder="1" applyAlignment="1" applyProtection="1">
      <alignment vertical="center" shrinkToFit="1"/>
      <protection hidden="1"/>
    </xf>
    <xf numFmtId="166" fontId="5" fillId="5" borderId="67" xfId="0" applyNumberFormat="1" applyFont="1" applyFill="1" applyBorder="1" applyAlignment="1" applyProtection="1">
      <alignment vertical="center" shrinkToFit="1"/>
      <protection hidden="1"/>
    </xf>
    <xf numFmtId="166" fontId="5" fillId="0" borderId="61" xfId="0" applyNumberFormat="1" applyFont="1" applyBorder="1" applyAlignment="1" applyProtection="1">
      <alignment vertical="center" shrinkToFit="1"/>
      <protection hidden="1"/>
    </xf>
    <xf numFmtId="166" fontId="5" fillId="0" borderId="62" xfId="0" applyNumberFormat="1" applyFont="1" applyBorder="1" applyAlignment="1" applyProtection="1">
      <alignment vertical="center" shrinkToFit="1"/>
      <protection hidden="1"/>
    </xf>
    <xf numFmtId="166" fontId="5" fillId="0" borderId="63" xfId="0" applyNumberFormat="1" applyFont="1" applyBorder="1" applyAlignment="1" applyProtection="1">
      <alignment vertical="center" shrinkToFit="1"/>
      <protection hidden="1"/>
    </xf>
    <xf numFmtId="166" fontId="5" fillId="5" borderId="64" xfId="0" applyNumberFormat="1" applyFont="1" applyFill="1" applyBorder="1" applyAlignment="1" applyProtection="1">
      <alignment vertical="center" shrinkToFit="1"/>
      <protection hidden="1"/>
    </xf>
    <xf numFmtId="166" fontId="5" fillId="5" borderId="63" xfId="0" applyNumberFormat="1" applyFont="1" applyFill="1" applyBorder="1" applyAlignment="1" applyProtection="1">
      <alignment vertical="center" shrinkToFit="1"/>
      <protection hidden="1"/>
    </xf>
    <xf numFmtId="166" fontId="5" fillId="0" borderId="68" xfId="0" applyNumberFormat="1" applyFont="1" applyBorder="1" applyAlignment="1" applyProtection="1">
      <alignment vertical="center" shrinkToFit="1"/>
      <protection hidden="1"/>
    </xf>
    <xf numFmtId="166" fontId="5" fillId="0" borderId="0" xfId="0" applyNumberFormat="1" applyFont="1" applyAlignment="1" applyProtection="1">
      <alignment vertical="center" shrinkToFit="1"/>
      <protection hidden="1"/>
    </xf>
    <xf numFmtId="166" fontId="5" fillId="16" borderId="64" xfId="0" applyNumberFormat="1" applyFont="1" applyFill="1" applyBorder="1" applyAlignment="1" applyProtection="1">
      <alignment vertical="center" shrinkToFit="1"/>
      <protection hidden="1"/>
    </xf>
    <xf numFmtId="166" fontId="5" fillId="16" borderId="66" xfId="0" applyNumberFormat="1" applyFont="1" applyFill="1" applyBorder="1" applyAlignment="1" applyProtection="1">
      <alignment vertical="center" shrinkToFit="1"/>
      <protection hidden="1"/>
    </xf>
    <xf numFmtId="166" fontId="5" fillId="16" borderId="61" xfId="0" applyNumberFormat="1" applyFont="1" applyFill="1" applyBorder="1" applyAlignment="1" applyProtection="1">
      <alignment vertical="center" shrinkToFit="1"/>
      <protection hidden="1"/>
    </xf>
    <xf numFmtId="166" fontId="5" fillId="16" borderId="67" xfId="0" applyNumberFormat="1" applyFont="1" applyFill="1" applyBorder="1" applyAlignment="1" applyProtection="1">
      <alignment vertical="center" shrinkToFit="1"/>
      <protection hidden="1"/>
    </xf>
    <xf numFmtId="166" fontId="5" fillId="16" borderId="39" xfId="0" applyNumberFormat="1" applyFont="1" applyFill="1" applyBorder="1" applyAlignment="1" applyProtection="1">
      <alignment vertical="center" shrinkToFit="1"/>
      <protection hidden="1"/>
    </xf>
    <xf numFmtId="166" fontId="5" fillId="16" borderId="42" xfId="0" applyNumberFormat="1" applyFont="1" applyFill="1" applyBorder="1" applyAlignment="1" applyProtection="1">
      <alignment vertical="center" shrinkToFit="1"/>
      <protection hidden="1"/>
    </xf>
    <xf numFmtId="166" fontId="5" fillId="16" borderId="58" xfId="0" applyNumberFormat="1" applyFont="1" applyFill="1" applyBorder="1" applyAlignment="1" applyProtection="1">
      <alignment vertical="center" shrinkToFit="1"/>
      <protection hidden="1"/>
    </xf>
    <xf numFmtId="166" fontId="5" fillId="16" borderId="40" xfId="0" applyNumberFormat="1" applyFont="1" applyFill="1" applyBorder="1" applyAlignment="1" applyProtection="1">
      <alignment vertical="center" shrinkToFit="1"/>
      <protection hidden="1"/>
    </xf>
    <xf numFmtId="166" fontId="5" fillId="16" borderId="60" xfId="0" applyNumberFormat="1" applyFont="1" applyFill="1" applyBorder="1" applyAlignment="1" applyProtection="1">
      <alignment vertical="center" shrinkToFit="1"/>
      <protection hidden="1"/>
    </xf>
    <xf numFmtId="166" fontId="5" fillId="6" borderId="47" xfId="0" applyNumberFormat="1" applyFont="1" applyFill="1" applyBorder="1" applyAlignment="1" applyProtection="1">
      <alignment vertical="center" shrinkToFit="1"/>
      <protection hidden="1"/>
    </xf>
    <xf numFmtId="166" fontId="5" fillId="6" borderId="2" xfId="0" applyNumberFormat="1" applyFont="1" applyFill="1" applyBorder="1" applyAlignment="1" applyProtection="1">
      <alignment vertical="center" shrinkToFit="1"/>
      <protection hidden="1"/>
    </xf>
    <xf numFmtId="0" fontId="5" fillId="13" borderId="23" xfId="0" applyFont="1" applyFill="1" applyBorder="1" applyAlignment="1" applyProtection="1">
      <alignment vertical="center" shrinkToFit="1"/>
      <protection hidden="1"/>
    </xf>
    <xf numFmtId="20" fontId="5" fillId="14" borderId="37" xfId="1" applyNumberFormat="1" applyFont="1" applyFill="1" applyBorder="1" applyAlignment="1" applyProtection="1">
      <alignment horizontal="center" vertical="center" shrinkToFit="1"/>
      <protection locked="0" hidden="1"/>
    </xf>
    <xf numFmtId="20" fontId="5" fillId="14" borderId="22" xfId="1" applyNumberFormat="1" applyFont="1" applyFill="1" applyBorder="1" applyAlignment="1" applyProtection="1">
      <alignment horizontal="center" vertical="center" shrinkToFit="1"/>
      <protection hidden="1"/>
    </xf>
    <xf numFmtId="20" fontId="5" fillId="14" borderId="29" xfId="1" applyNumberFormat="1" applyFont="1" applyFill="1" applyBorder="1" applyAlignment="1" applyProtection="1">
      <alignment horizontal="center" vertical="center" shrinkToFit="1"/>
      <protection hidden="1"/>
    </xf>
    <xf numFmtId="20" fontId="6" fillId="14" borderId="24" xfId="1" applyNumberFormat="1" applyFont="1" applyFill="1" applyBorder="1" applyAlignment="1" applyProtection="1">
      <alignment horizontal="center" vertical="center" shrinkToFit="1"/>
      <protection hidden="1"/>
    </xf>
    <xf numFmtId="20" fontId="22" fillId="14" borderId="22" xfId="1" applyNumberFormat="1" applyFont="1" applyFill="1" applyBorder="1" applyAlignment="1" applyProtection="1">
      <alignment horizontal="center" vertical="center"/>
      <protection hidden="1"/>
    </xf>
    <xf numFmtId="20" fontId="22" fillId="14" borderId="23" xfId="1" applyNumberFormat="1" applyFont="1" applyFill="1" applyBorder="1" applyAlignment="1" applyProtection="1">
      <alignment horizontal="center" vertical="center"/>
      <protection hidden="1"/>
    </xf>
    <xf numFmtId="165" fontId="5" fillId="14" borderId="35" xfId="1" applyNumberFormat="1" applyFont="1" applyFill="1" applyBorder="1" applyAlignment="1" applyProtection="1">
      <alignment horizontal="center" vertical="center" shrinkToFit="1"/>
      <protection hidden="1"/>
    </xf>
    <xf numFmtId="20" fontId="5" fillId="14" borderId="14" xfId="1" applyNumberFormat="1" applyFont="1" applyFill="1" applyBorder="1" applyAlignment="1" applyProtection="1">
      <alignment horizontal="center" vertical="center" shrinkToFit="1"/>
      <protection locked="0" hidden="1"/>
    </xf>
    <xf numFmtId="20" fontId="6" fillId="14" borderId="23" xfId="1" applyNumberFormat="1" applyFont="1" applyFill="1" applyBorder="1" applyAlignment="1" applyProtection="1">
      <alignment horizontal="center" vertical="center" shrinkToFit="1"/>
      <protection hidden="1"/>
    </xf>
    <xf numFmtId="20" fontId="5" fillId="14" borderId="27" xfId="1" applyNumberFormat="1" applyFont="1" applyFill="1" applyBorder="1" applyAlignment="1" applyProtection="1">
      <alignment horizontal="center" vertical="center"/>
      <protection hidden="1"/>
    </xf>
    <xf numFmtId="20" fontId="5" fillId="14" borderId="23" xfId="1" applyNumberFormat="1" applyFont="1" applyFill="1" applyBorder="1" applyAlignment="1" applyProtection="1">
      <alignment horizontal="center" vertical="center"/>
      <protection hidden="1"/>
    </xf>
    <xf numFmtId="165" fontId="5" fillId="14" borderId="27" xfId="1" applyNumberFormat="1" applyFont="1" applyFill="1" applyBorder="1" applyAlignment="1" applyProtection="1">
      <alignment horizontal="center" vertical="center" shrinkToFit="1"/>
      <protection hidden="1"/>
    </xf>
    <xf numFmtId="20" fontId="5" fillId="14" borderId="22" xfId="1" applyNumberFormat="1" applyFont="1" applyFill="1" applyBorder="1" applyAlignment="1" applyProtection="1">
      <alignment horizontal="center" vertical="center" shrinkToFit="1"/>
      <protection locked="0" hidden="1"/>
    </xf>
    <xf numFmtId="20" fontId="5" fillId="14" borderId="12" xfId="1" applyNumberFormat="1" applyFont="1" applyFill="1" applyBorder="1" applyAlignment="1" applyProtection="1">
      <alignment horizontal="center" vertical="center" shrinkToFit="1"/>
      <protection locked="0" hidden="1"/>
    </xf>
    <xf numFmtId="20" fontId="5" fillId="14" borderId="28" xfId="1" applyNumberFormat="1" applyFont="1" applyFill="1" applyBorder="1" applyAlignment="1" applyProtection="1">
      <alignment horizontal="center" vertical="center" shrinkToFit="1"/>
      <protection hidden="1"/>
    </xf>
    <xf numFmtId="0" fontId="5" fillId="14" borderId="31" xfId="1" applyFont="1" applyFill="1" applyBorder="1" applyAlignment="1" applyProtection="1">
      <alignment horizontal="center" vertical="center" shrinkToFit="1"/>
      <protection locked="0" hidden="1"/>
    </xf>
    <xf numFmtId="20" fontId="5" fillId="14" borderId="0" xfId="1" applyNumberFormat="1" applyFont="1" applyFill="1" applyAlignment="1" applyProtection="1">
      <alignment horizontal="center" vertical="center" shrinkToFit="1"/>
      <protection hidden="1"/>
    </xf>
    <xf numFmtId="20" fontId="6" fillId="14" borderId="25" xfId="1" applyNumberFormat="1" applyFont="1" applyFill="1" applyBorder="1" applyAlignment="1" applyProtection="1">
      <alignment horizontal="center" vertical="center" shrinkToFit="1"/>
      <protection hidden="1"/>
    </xf>
    <xf numFmtId="20" fontId="5" fillId="14" borderId="28" xfId="1" applyNumberFormat="1" applyFont="1" applyFill="1" applyBorder="1" applyAlignment="1" applyProtection="1">
      <alignment horizontal="center" vertical="center"/>
      <protection hidden="1"/>
    </xf>
    <xf numFmtId="166" fontId="5" fillId="14" borderId="53" xfId="0" applyNumberFormat="1" applyFont="1" applyFill="1" applyBorder="1" applyAlignment="1" applyProtection="1">
      <alignment vertical="center" shrinkToFit="1"/>
      <protection hidden="1"/>
    </xf>
    <xf numFmtId="166" fontId="5" fillId="14" borderId="3" xfId="0" applyNumberFormat="1" applyFont="1" applyFill="1" applyBorder="1" applyAlignment="1" applyProtection="1">
      <alignment vertical="center" shrinkToFit="1"/>
      <protection hidden="1"/>
    </xf>
    <xf numFmtId="166" fontId="5" fillId="14" borderId="5" xfId="0" applyNumberFormat="1" applyFont="1" applyFill="1" applyBorder="1" applyAlignment="1" applyProtection="1">
      <alignment vertical="center" shrinkToFit="1"/>
      <protection hidden="1"/>
    </xf>
    <xf numFmtId="166" fontId="5" fillId="14" borderId="2" xfId="0" applyNumberFormat="1" applyFont="1" applyFill="1" applyBorder="1" applyAlignment="1" applyProtection="1">
      <alignment vertical="center" shrinkToFit="1"/>
      <protection hidden="1"/>
    </xf>
    <xf numFmtId="166" fontId="5" fillId="14" borderId="68" xfId="0" applyNumberFormat="1" applyFont="1" applyFill="1" applyBorder="1" applyAlignment="1" applyProtection="1">
      <alignment vertical="center" shrinkToFit="1"/>
      <protection hidden="1"/>
    </xf>
    <xf numFmtId="166" fontId="5" fillId="14" borderId="57" xfId="0" applyNumberFormat="1" applyFont="1" applyFill="1" applyBorder="1" applyAlignment="1" applyProtection="1">
      <alignment vertical="center" shrinkToFit="1"/>
      <protection hidden="1"/>
    </xf>
    <xf numFmtId="166" fontId="5" fillId="14" borderId="4" xfId="0" applyNumberFormat="1" applyFont="1" applyFill="1" applyBorder="1" applyAlignment="1" applyProtection="1">
      <alignment vertical="center" shrinkToFit="1"/>
      <protection hidden="1"/>
    </xf>
    <xf numFmtId="166" fontId="5" fillId="14" borderId="62" xfId="0" applyNumberFormat="1" applyFont="1" applyFill="1" applyBorder="1" applyAlignment="1" applyProtection="1">
      <alignment vertical="center" shrinkToFit="1"/>
      <protection hidden="1"/>
    </xf>
    <xf numFmtId="166" fontId="5" fillId="14" borderId="39" xfId="0" applyNumberFormat="1" applyFont="1" applyFill="1" applyBorder="1" applyAlignment="1" applyProtection="1">
      <alignment vertical="center" shrinkToFit="1"/>
      <protection hidden="1"/>
    </xf>
    <xf numFmtId="166" fontId="5" fillId="14" borderId="64" xfId="0" applyNumberFormat="1" applyFont="1" applyFill="1" applyBorder="1" applyAlignment="1" applyProtection="1">
      <alignment vertical="center" shrinkToFit="1"/>
      <protection hidden="1"/>
    </xf>
    <xf numFmtId="166" fontId="5" fillId="14" borderId="42" xfId="0" applyNumberFormat="1" applyFont="1" applyFill="1" applyBorder="1" applyAlignment="1" applyProtection="1">
      <alignment vertical="center" shrinkToFit="1"/>
      <protection hidden="1"/>
    </xf>
    <xf numFmtId="166" fontId="5" fillId="14" borderId="56" xfId="0" applyNumberFormat="1" applyFont="1" applyFill="1" applyBorder="1" applyAlignment="1" applyProtection="1">
      <alignment vertical="center" shrinkToFit="1"/>
      <protection hidden="1"/>
    </xf>
    <xf numFmtId="166" fontId="5" fillId="14" borderId="7" xfId="0" applyNumberFormat="1" applyFont="1" applyFill="1" applyBorder="1" applyAlignment="1" applyProtection="1">
      <alignment vertical="center" shrinkToFit="1"/>
      <protection hidden="1"/>
    </xf>
    <xf numFmtId="166" fontId="5" fillId="14" borderId="33" xfId="0" applyNumberFormat="1" applyFont="1" applyFill="1" applyBorder="1" applyAlignment="1" applyProtection="1">
      <alignment vertical="center" shrinkToFit="1"/>
      <protection hidden="1"/>
    </xf>
    <xf numFmtId="166" fontId="5" fillId="10" borderId="54" xfId="0" applyNumberFormat="1" applyFont="1" applyFill="1" applyBorder="1" applyAlignment="1" applyProtection="1">
      <alignment vertical="center" shrinkToFit="1"/>
      <protection hidden="1"/>
    </xf>
    <xf numFmtId="166" fontId="5" fillId="10" borderId="3" xfId="0" applyNumberFormat="1" applyFont="1" applyFill="1" applyBorder="1" applyAlignment="1" applyProtection="1">
      <alignment vertical="center" shrinkToFit="1"/>
      <protection hidden="1"/>
    </xf>
    <xf numFmtId="166" fontId="5" fillId="12" borderId="47" xfId="0" applyNumberFormat="1" applyFont="1" applyFill="1" applyBorder="1" applyAlignment="1" applyProtection="1">
      <alignment vertical="center" shrinkToFit="1"/>
      <protection hidden="1"/>
    </xf>
    <xf numFmtId="166" fontId="5" fillId="12" borderId="5" xfId="0" applyNumberFormat="1" applyFont="1" applyFill="1" applyBorder="1" applyAlignment="1" applyProtection="1">
      <alignment vertical="center" shrinkToFit="1"/>
      <protection hidden="1"/>
    </xf>
    <xf numFmtId="166" fontId="5" fillId="12" borderId="7" xfId="0" applyNumberFormat="1" applyFont="1" applyFill="1" applyBorder="1" applyAlignment="1" applyProtection="1">
      <alignment vertical="center" shrinkToFit="1"/>
      <protection hidden="1"/>
    </xf>
    <xf numFmtId="166" fontId="5" fillId="14" borderId="47" xfId="0" applyNumberFormat="1" applyFont="1" applyFill="1" applyBorder="1" applyAlignment="1" applyProtection="1">
      <alignment vertical="center" shrinkToFit="1"/>
      <protection hidden="1"/>
    </xf>
    <xf numFmtId="166" fontId="5" fillId="10" borderId="68" xfId="0" applyNumberFormat="1" applyFont="1" applyFill="1" applyBorder="1" applyAlignment="1" applyProtection="1">
      <alignment vertical="center" shrinkToFit="1"/>
      <protection hidden="1"/>
    </xf>
    <xf numFmtId="166" fontId="5" fillId="10" borderId="69" xfId="0" applyNumberFormat="1" applyFont="1" applyFill="1" applyBorder="1" applyAlignment="1" applyProtection="1">
      <alignment vertical="center" shrinkToFit="1"/>
      <protection hidden="1"/>
    </xf>
    <xf numFmtId="166" fontId="5" fillId="10" borderId="70" xfId="0" applyNumberFormat="1" applyFont="1" applyFill="1" applyBorder="1" applyAlignment="1" applyProtection="1">
      <alignment vertical="center" shrinkToFit="1"/>
      <protection hidden="1"/>
    </xf>
    <xf numFmtId="166" fontId="5" fillId="10" borderId="71" xfId="0" applyNumberFormat="1" applyFont="1" applyFill="1" applyBorder="1" applyAlignment="1" applyProtection="1">
      <alignment vertical="center" shrinkToFit="1"/>
      <protection hidden="1"/>
    </xf>
    <xf numFmtId="166" fontId="5" fillId="15" borderId="39" xfId="0" applyNumberFormat="1" applyFont="1" applyFill="1" applyBorder="1" applyAlignment="1" applyProtection="1">
      <alignment vertical="center" shrinkToFit="1"/>
      <protection hidden="1"/>
    </xf>
    <xf numFmtId="0" fontId="5" fillId="13" borderId="27" xfId="0" applyFont="1" applyFill="1" applyBorder="1" applyAlignment="1" applyProtection="1">
      <alignment vertical="center" shrinkToFit="1"/>
      <protection hidden="1"/>
    </xf>
    <xf numFmtId="166" fontId="5" fillId="17" borderId="47" xfId="0" applyNumberFormat="1" applyFont="1" applyFill="1" applyBorder="1" applyAlignment="1" applyProtection="1">
      <alignment vertical="center" shrinkToFit="1"/>
      <protection hidden="1"/>
    </xf>
    <xf numFmtId="166" fontId="5" fillId="17" borderId="5" xfId="0" applyNumberFormat="1" applyFont="1" applyFill="1" applyBorder="1" applyAlignment="1" applyProtection="1">
      <alignment vertical="center" shrinkToFit="1"/>
      <protection hidden="1"/>
    </xf>
    <xf numFmtId="166" fontId="5" fillId="17" borderId="7" xfId="0" applyNumberFormat="1" applyFont="1" applyFill="1" applyBorder="1" applyAlignment="1" applyProtection="1">
      <alignment vertical="center" shrinkToFit="1"/>
      <protection hidden="1"/>
    </xf>
    <xf numFmtId="166" fontId="5" fillId="17" borderId="2" xfId="0" applyNumberFormat="1" applyFont="1" applyFill="1" applyBorder="1" applyAlignment="1" applyProtection="1">
      <alignment vertical="center" shrinkToFit="1"/>
      <protection hidden="1"/>
    </xf>
    <xf numFmtId="166" fontId="5" fillId="15" borderId="51" xfId="0" applyNumberFormat="1" applyFont="1" applyFill="1" applyBorder="1" applyAlignment="1" applyProtection="1">
      <alignment vertical="center" shrinkToFit="1"/>
      <protection hidden="1"/>
    </xf>
    <xf numFmtId="166" fontId="5" fillId="15" borderId="53" xfId="0" applyNumberFormat="1" applyFont="1" applyFill="1" applyBorder="1" applyAlignment="1" applyProtection="1">
      <alignment vertical="center" shrinkToFit="1"/>
      <protection hidden="1"/>
    </xf>
    <xf numFmtId="166" fontId="5" fillId="3" borderId="51" xfId="0" applyNumberFormat="1" applyFont="1" applyFill="1" applyBorder="1" applyAlignment="1" applyProtection="1">
      <alignment vertical="center" shrinkToFit="1"/>
      <protection hidden="1"/>
    </xf>
    <xf numFmtId="166" fontId="5" fillId="3" borderId="5" xfId="0" applyNumberFormat="1" applyFont="1" applyFill="1" applyBorder="1" applyAlignment="1" applyProtection="1">
      <alignment vertical="center" shrinkToFit="1"/>
      <protection hidden="1"/>
    </xf>
    <xf numFmtId="166" fontId="5" fillId="3" borderId="54" xfId="0" applyNumberFormat="1" applyFont="1" applyFill="1" applyBorder="1" applyAlignment="1" applyProtection="1">
      <alignment vertical="center" shrinkToFit="1"/>
      <protection hidden="1"/>
    </xf>
    <xf numFmtId="166" fontId="5" fillId="3" borderId="4" xfId="0" applyNumberFormat="1" applyFont="1" applyFill="1" applyBorder="1" applyAlignment="1" applyProtection="1">
      <alignment vertical="center" shrinkToFit="1"/>
      <protection hidden="1"/>
    </xf>
    <xf numFmtId="0" fontId="5" fillId="9" borderId="72" xfId="0" applyFont="1" applyFill="1" applyBorder="1" applyAlignment="1" applyProtection="1">
      <alignment vertical="center" textRotation="180" shrinkToFit="1"/>
      <protection hidden="1"/>
    </xf>
    <xf numFmtId="166" fontId="5" fillId="3" borderId="56" xfId="0" applyNumberFormat="1" applyFont="1" applyFill="1" applyBorder="1" applyAlignment="1" applyProtection="1">
      <alignment vertical="center" shrinkToFit="1"/>
      <protection hidden="1"/>
    </xf>
    <xf numFmtId="166" fontId="5" fillId="3" borderId="7" xfId="0" applyNumberFormat="1" applyFont="1" applyFill="1" applyBorder="1" applyAlignment="1" applyProtection="1">
      <alignment vertical="center" shrinkToFit="1"/>
      <protection hidden="1"/>
    </xf>
    <xf numFmtId="166" fontId="5" fillId="3" borderId="53" xfId="0" applyNumberFormat="1" applyFont="1" applyFill="1" applyBorder="1" applyAlignment="1" applyProtection="1">
      <alignment vertical="center" shrinkToFit="1"/>
      <protection hidden="1"/>
    </xf>
    <xf numFmtId="166" fontId="5" fillId="3" borderId="2" xfId="0" applyNumberFormat="1" applyFont="1" applyFill="1" applyBorder="1" applyAlignment="1" applyProtection="1">
      <alignment vertical="center" shrinkToFit="1"/>
      <protection hidden="1"/>
    </xf>
    <xf numFmtId="166" fontId="5" fillId="11" borderId="34" xfId="0" applyNumberFormat="1" applyFont="1" applyFill="1" applyBorder="1" applyAlignment="1" applyProtection="1">
      <alignment vertical="center" shrinkToFit="1"/>
      <protection hidden="1"/>
    </xf>
    <xf numFmtId="166" fontId="5" fillId="11" borderId="6" xfId="0" applyNumberFormat="1" applyFont="1" applyFill="1" applyBorder="1" applyAlignment="1" applyProtection="1">
      <alignment vertical="center" shrinkToFit="1"/>
      <protection hidden="1"/>
    </xf>
    <xf numFmtId="0" fontId="10" fillId="11" borderId="37" xfId="0" applyFont="1" applyFill="1" applyBorder="1" applyAlignment="1" applyProtection="1">
      <alignment horizontal="left" vertical="center" shrinkToFit="1"/>
      <protection hidden="1"/>
    </xf>
    <xf numFmtId="0" fontId="10" fillId="11" borderId="38" xfId="0" applyFont="1" applyFill="1" applyBorder="1" applyAlignment="1" applyProtection="1">
      <alignment horizontal="right" vertical="center" shrinkToFit="1"/>
      <protection hidden="1"/>
    </xf>
    <xf numFmtId="0" fontId="10" fillId="11" borderId="38" xfId="0" applyFont="1" applyFill="1" applyBorder="1" applyAlignment="1" applyProtection="1">
      <alignment vertical="center" shrinkToFit="1"/>
      <protection hidden="1"/>
    </xf>
    <xf numFmtId="0" fontId="5" fillId="11" borderId="43" xfId="0" applyFont="1" applyFill="1" applyBorder="1" applyAlignment="1" applyProtection="1">
      <alignment vertical="center" shrinkToFit="1"/>
      <protection hidden="1"/>
    </xf>
    <xf numFmtId="0" fontId="5" fillId="11" borderId="35" xfId="0" applyFont="1" applyFill="1" applyBorder="1" applyAlignment="1" applyProtection="1">
      <alignment vertical="center" shrinkToFit="1"/>
      <protection hidden="1"/>
    </xf>
    <xf numFmtId="0" fontId="6" fillId="11" borderId="43" xfId="0" applyFont="1" applyFill="1" applyBorder="1" applyAlignment="1" applyProtection="1">
      <alignment horizontal="center" vertical="center" shrinkToFit="1"/>
      <protection hidden="1"/>
    </xf>
    <xf numFmtId="20" fontId="6" fillId="11" borderId="35" xfId="1" applyNumberFormat="1" applyFont="1" applyFill="1" applyBorder="1" applyAlignment="1" applyProtection="1">
      <alignment horizontal="center" vertical="center" shrinkToFit="1"/>
      <protection locked="0" hidden="1"/>
    </xf>
    <xf numFmtId="20" fontId="5" fillId="11" borderId="35" xfId="1" applyNumberFormat="1" applyFont="1" applyFill="1" applyBorder="1" applyAlignment="1" applyProtection="1">
      <alignment horizontal="center" vertical="center" shrinkToFit="1"/>
      <protection hidden="1"/>
    </xf>
    <xf numFmtId="0" fontId="6" fillId="11" borderId="43" xfId="1" applyFont="1" applyFill="1" applyBorder="1" applyAlignment="1" applyProtection="1">
      <alignment horizontal="center" vertical="center" shrinkToFit="1"/>
      <protection locked="0" hidden="1"/>
    </xf>
    <xf numFmtId="20" fontId="6" fillId="11" borderId="37" xfId="1" applyNumberFormat="1" applyFont="1" applyFill="1" applyBorder="1" applyAlignment="1" applyProtection="1">
      <alignment horizontal="center" vertical="center" shrinkToFit="1"/>
      <protection locked="0" hidden="1"/>
    </xf>
    <xf numFmtId="20" fontId="6" fillId="11" borderId="12" xfId="1" applyNumberFormat="1" applyFont="1" applyFill="1" applyBorder="1" applyAlignment="1" applyProtection="1">
      <alignment horizontal="center" vertical="center" shrinkToFit="1"/>
      <protection hidden="1"/>
    </xf>
    <xf numFmtId="20" fontId="6" fillId="11" borderId="35" xfId="1" applyNumberFormat="1" applyFont="1" applyFill="1" applyBorder="1" applyAlignment="1" applyProtection="1">
      <alignment horizontal="center" vertical="center"/>
      <protection hidden="1"/>
    </xf>
    <xf numFmtId="20" fontId="6" fillId="18" borderId="35" xfId="1" applyNumberFormat="1" applyFont="1" applyFill="1" applyBorder="1" applyAlignment="1" applyProtection="1">
      <alignment horizontal="center" vertical="center" shrinkToFit="1"/>
      <protection locked="0" hidden="1"/>
    </xf>
    <xf numFmtId="165" fontId="5" fillId="11" borderId="38" xfId="1" applyNumberFormat="1" applyFont="1" applyFill="1" applyBorder="1" applyAlignment="1" applyProtection="1">
      <alignment horizontal="center" vertical="center" shrinkToFit="1"/>
      <protection hidden="1"/>
    </xf>
    <xf numFmtId="0" fontId="10" fillId="11" borderId="17" xfId="0" applyFont="1" applyFill="1" applyBorder="1" applyAlignment="1" applyProtection="1">
      <alignment vertical="center" shrinkToFit="1"/>
      <protection hidden="1"/>
    </xf>
    <xf numFmtId="0" fontId="21" fillId="11" borderId="18" xfId="0" applyFont="1" applyFill="1" applyBorder="1" applyAlignment="1" applyProtection="1">
      <alignment vertical="center" shrinkToFit="1"/>
      <protection hidden="1"/>
    </xf>
    <xf numFmtId="0" fontId="10" fillId="11" borderId="18" xfId="0" applyFont="1" applyFill="1" applyBorder="1" applyAlignment="1" applyProtection="1">
      <alignment vertical="center" shrinkToFit="1"/>
      <protection hidden="1"/>
    </xf>
    <xf numFmtId="0" fontId="5" fillId="11" borderId="32" xfId="0" applyFont="1" applyFill="1" applyBorder="1" applyAlignment="1" applyProtection="1">
      <alignment vertical="center" shrinkToFit="1"/>
      <protection hidden="1"/>
    </xf>
    <xf numFmtId="0" fontId="5" fillId="11" borderId="25" xfId="0" applyFont="1" applyFill="1" applyBorder="1" applyAlignment="1" applyProtection="1">
      <alignment vertical="center" shrinkToFit="1"/>
      <protection hidden="1"/>
    </xf>
    <xf numFmtId="0" fontId="6" fillId="11" borderId="32" xfId="0" applyFont="1" applyFill="1" applyBorder="1" applyAlignment="1" applyProtection="1">
      <alignment horizontal="center" vertical="center" shrinkToFit="1"/>
      <protection hidden="1"/>
    </xf>
    <xf numFmtId="20" fontId="6" fillId="11" borderId="25" xfId="1" applyNumberFormat="1" applyFont="1" applyFill="1" applyBorder="1" applyAlignment="1" applyProtection="1">
      <alignment horizontal="center" vertical="center" shrinkToFit="1"/>
      <protection locked="0" hidden="1"/>
    </xf>
    <xf numFmtId="20" fontId="5" fillId="11" borderId="28" xfId="1" applyNumberFormat="1" applyFont="1" applyFill="1" applyBorder="1" applyAlignment="1" applyProtection="1">
      <alignment horizontal="center" vertical="center" shrinkToFit="1"/>
      <protection hidden="1"/>
    </xf>
    <xf numFmtId="0" fontId="6" fillId="11" borderId="32" xfId="1" applyFont="1" applyFill="1" applyBorder="1" applyAlignment="1" applyProtection="1">
      <alignment horizontal="center" vertical="center" shrinkToFit="1"/>
      <protection locked="0" hidden="1"/>
    </xf>
    <xf numFmtId="20" fontId="6" fillId="11" borderId="41" xfId="1" applyNumberFormat="1" applyFont="1" applyFill="1" applyBorder="1" applyAlignment="1" applyProtection="1">
      <alignment horizontal="center" vertical="center" shrinkToFit="1"/>
      <protection locked="0" hidden="1"/>
    </xf>
    <xf numFmtId="20" fontId="6" fillId="11" borderId="44" xfId="1" applyNumberFormat="1" applyFont="1" applyFill="1" applyBorder="1" applyAlignment="1" applyProtection="1">
      <alignment horizontal="center" vertical="center" shrinkToFit="1"/>
      <protection locked="0" hidden="1"/>
    </xf>
    <xf numFmtId="20" fontId="5" fillId="11" borderId="41" xfId="1" applyNumberFormat="1" applyFont="1" applyFill="1" applyBorder="1" applyAlignment="1" applyProtection="1">
      <alignment horizontal="center" vertical="center" shrinkToFit="1"/>
      <protection hidden="1"/>
    </xf>
    <xf numFmtId="20" fontId="6" fillId="11" borderId="16" xfId="1" applyNumberFormat="1" applyFont="1" applyFill="1" applyBorder="1" applyAlignment="1" applyProtection="1">
      <alignment horizontal="center" vertical="center" shrinkToFit="1"/>
      <protection hidden="1"/>
    </xf>
    <xf numFmtId="20" fontId="6" fillId="18" borderId="41" xfId="1" applyNumberFormat="1" applyFont="1" applyFill="1" applyBorder="1" applyAlignment="1" applyProtection="1">
      <alignment horizontal="center" vertical="center" shrinkToFit="1"/>
      <protection locked="0" hidden="1"/>
    </xf>
    <xf numFmtId="165" fontId="5" fillId="11" borderId="45" xfId="1" applyNumberFormat="1" applyFont="1" applyFill="1" applyBorder="1" applyAlignment="1" applyProtection="1">
      <alignment horizontal="center" vertical="center" shrinkToFit="1"/>
      <protection hidden="1"/>
    </xf>
    <xf numFmtId="0" fontId="5" fillId="13" borderId="22" xfId="0" applyFont="1" applyFill="1" applyBorder="1" applyAlignment="1" applyProtection="1">
      <alignment vertical="center" shrinkToFit="1"/>
      <protection hidden="1"/>
    </xf>
    <xf numFmtId="0" fontId="5" fillId="14" borderId="41" xfId="1" applyFont="1" applyFill="1" applyBorder="1" applyAlignment="1" applyProtection="1">
      <alignment horizontal="center" vertical="center" shrinkToFit="1"/>
      <protection locked="0" hidden="1"/>
    </xf>
    <xf numFmtId="166" fontId="5" fillId="15" borderId="4" xfId="0" applyNumberFormat="1" applyFont="1" applyFill="1" applyBorder="1" applyAlignment="1" applyProtection="1">
      <alignment vertical="center" shrinkToFit="1"/>
      <protection hidden="1"/>
    </xf>
    <xf numFmtId="166" fontId="5" fillId="15" borderId="6" xfId="0" applyNumberFormat="1" applyFont="1" applyFill="1" applyBorder="1" applyAlignment="1" applyProtection="1">
      <alignment vertical="center" shrinkToFit="1"/>
      <protection hidden="1"/>
    </xf>
    <xf numFmtId="166" fontId="5" fillId="6" borderId="4" xfId="0" applyNumberFormat="1" applyFont="1" applyFill="1" applyBorder="1" applyAlignment="1" applyProtection="1">
      <alignment vertical="center" shrinkToFit="1"/>
      <protection hidden="1"/>
    </xf>
    <xf numFmtId="166" fontId="5" fillId="6" borderId="6" xfId="0" applyNumberFormat="1" applyFont="1" applyFill="1" applyBorder="1" applyAlignment="1" applyProtection="1">
      <alignment vertical="center" shrinkToFit="1"/>
      <protection hidden="1"/>
    </xf>
    <xf numFmtId="166" fontId="5" fillId="6" borderId="5" xfId="0" applyNumberFormat="1" applyFont="1" applyFill="1" applyBorder="1" applyAlignment="1" applyProtection="1">
      <alignment vertical="center" shrinkToFit="1"/>
      <protection hidden="1"/>
    </xf>
    <xf numFmtId="166" fontId="5" fillId="6" borderId="7" xfId="0" applyNumberFormat="1" applyFont="1" applyFill="1" applyBorder="1" applyAlignment="1" applyProtection="1">
      <alignment vertical="center" shrinkToFit="1"/>
      <protection hidden="1"/>
    </xf>
    <xf numFmtId="0" fontId="26" fillId="2" borderId="32" xfId="0" applyFont="1" applyFill="1" applyBorder="1" applyAlignment="1" applyProtection="1">
      <alignment vertical="center" shrinkToFit="1"/>
      <protection hidden="1"/>
    </xf>
    <xf numFmtId="0" fontId="5" fillId="9" borderId="50" xfId="0" applyFont="1" applyFill="1" applyBorder="1" applyAlignment="1" applyProtection="1">
      <alignment vertical="center" shrinkToFit="1"/>
      <protection hidden="1"/>
    </xf>
    <xf numFmtId="20" fontId="6" fillId="15" borderId="41" xfId="1" applyNumberFormat="1" applyFont="1" applyFill="1" applyBorder="1" applyAlignment="1" applyProtection="1">
      <alignment horizontal="center" vertical="center"/>
      <protection hidden="1"/>
    </xf>
    <xf numFmtId="20" fontId="5" fillId="15" borderId="28" xfId="1" applyNumberFormat="1" applyFont="1" applyFill="1" applyBorder="1" applyAlignment="1" applyProtection="1">
      <alignment horizontal="center" vertical="center"/>
      <protection hidden="1"/>
    </xf>
    <xf numFmtId="0" fontId="6" fillId="15" borderId="32" xfId="1" applyFont="1" applyFill="1" applyBorder="1" applyAlignment="1" applyProtection="1">
      <alignment horizontal="center" vertical="center" shrinkToFit="1"/>
      <protection locked="0" hidden="1"/>
    </xf>
    <xf numFmtId="20" fontId="22" fillId="19" borderId="13" xfId="1" applyNumberFormat="1" applyFont="1" applyFill="1" applyBorder="1" applyAlignment="1" applyProtection="1">
      <alignment horizontal="center" vertical="center"/>
      <protection hidden="1"/>
    </xf>
    <xf numFmtId="20" fontId="5" fillId="19" borderId="15" xfId="1" applyNumberFormat="1" applyFont="1" applyFill="1" applyBorder="1" applyAlignment="1" applyProtection="1">
      <alignment horizontal="center" vertical="center"/>
      <protection hidden="1"/>
    </xf>
    <xf numFmtId="0" fontId="5" fillId="3" borderId="15" xfId="1" applyFont="1" applyFill="1" applyBorder="1" applyAlignment="1" applyProtection="1">
      <alignment horizontal="center" vertical="center" shrinkToFit="1"/>
      <protection locked="0" hidden="1"/>
    </xf>
    <xf numFmtId="0" fontId="22" fillId="3" borderId="15" xfId="1" applyFont="1" applyFill="1" applyBorder="1" applyAlignment="1" applyProtection="1">
      <alignment horizontal="center" vertical="center" shrinkToFit="1"/>
      <protection locked="0" hidden="1"/>
    </xf>
    <xf numFmtId="0" fontId="22" fillId="3" borderId="36" xfId="1" applyFont="1" applyFill="1" applyBorder="1" applyAlignment="1" applyProtection="1">
      <alignment horizontal="center" vertical="center" shrinkToFit="1"/>
      <protection locked="0" hidden="1"/>
    </xf>
    <xf numFmtId="0" fontId="5" fillId="15" borderId="15" xfId="1" applyFont="1" applyFill="1" applyBorder="1" applyAlignment="1" applyProtection="1">
      <alignment horizontal="center" vertical="center" shrinkToFit="1"/>
      <protection locked="0" hidden="1"/>
    </xf>
    <xf numFmtId="0" fontId="6" fillId="10" borderId="43" xfId="0" applyFont="1" applyFill="1" applyBorder="1" applyAlignment="1" applyProtection="1">
      <alignment horizontal="center" vertical="center" shrinkToFit="1"/>
      <protection hidden="1"/>
    </xf>
    <xf numFmtId="0" fontId="22" fillId="15" borderId="15" xfId="1" applyFont="1" applyFill="1" applyBorder="1" applyAlignment="1" applyProtection="1">
      <alignment horizontal="center" vertical="center" shrinkToFit="1"/>
      <protection locked="0" hidden="1"/>
    </xf>
    <xf numFmtId="20" fontId="5" fillId="15" borderId="27" xfId="1" applyNumberFormat="1" applyFont="1" applyFill="1" applyBorder="1" applyAlignment="1" applyProtection="1">
      <alignment horizontal="center" vertical="center"/>
      <protection hidden="1"/>
    </xf>
    <xf numFmtId="0" fontId="22" fillId="13" borderId="15" xfId="1" applyFont="1" applyFill="1" applyBorder="1" applyAlignment="1" applyProtection="1">
      <alignment horizontal="center" vertical="center" shrinkToFit="1"/>
      <protection locked="0" hidden="1"/>
    </xf>
    <xf numFmtId="0" fontId="6" fillId="13" borderId="43" xfId="1" applyFont="1" applyFill="1" applyBorder="1" applyAlignment="1" applyProtection="1">
      <alignment horizontal="center" vertical="center" shrinkToFit="1"/>
      <protection locked="0" hidden="1"/>
    </xf>
    <xf numFmtId="0" fontId="10" fillId="21" borderId="15" xfId="0" applyFont="1" applyFill="1" applyBorder="1" applyAlignment="1" applyProtection="1">
      <alignment vertical="center" wrapText="1" shrinkToFit="1"/>
      <protection hidden="1"/>
    </xf>
    <xf numFmtId="20" fontId="5" fillId="14" borderId="9" xfId="0" applyNumberFormat="1" applyFont="1" applyFill="1" applyBorder="1" applyAlignment="1" applyProtection="1">
      <alignment horizontal="center" vertical="center" shrinkToFit="1"/>
      <protection hidden="1"/>
    </xf>
    <xf numFmtId="0" fontId="5" fillId="3" borderId="20" xfId="1" applyFont="1" applyFill="1" applyBorder="1" applyAlignment="1" applyProtection="1">
      <alignment horizontal="center" vertical="center" shrinkToFit="1"/>
      <protection locked="0" hidden="1"/>
    </xf>
    <xf numFmtId="20" fontId="5" fillId="14" borderId="22" xfId="1" applyNumberFormat="1" applyFont="1" applyFill="1" applyBorder="1" applyAlignment="1" applyProtection="1">
      <alignment horizontal="center" vertical="center"/>
      <protection hidden="1"/>
    </xf>
    <xf numFmtId="165" fontId="5" fillId="14" borderId="22" xfId="1" applyNumberFormat="1" applyFont="1" applyFill="1" applyBorder="1" applyAlignment="1" applyProtection="1">
      <alignment horizontal="center" vertical="center" shrinkToFit="1"/>
      <protection hidden="1"/>
    </xf>
    <xf numFmtId="20" fontId="5" fillId="14" borderId="44" xfId="1" applyNumberFormat="1" applyFont="1" applyFill="1" applyBorder="1" applyAlignment="1" applyProtection="1">
      <alignment horizontal="center" vertical="center" shrinkToFit="1"/>
      <protection locked="0" hidden="1"/>
    </xf>
    <xf numFmtId="20" fontId="27" fillId="0" borderId="22" xfId="1" applyNumberFormat="1" applyFont="1" applyBorder="1" applyAlignment="1" applyProtection="1">
      <alignment horizontal="center" vertical="center"/>
      <protection hidden="1"/>
    </xf>
    <xf numFmtId="20" fontId="28" fillId="0" borderId="27" xfId="1" applyNumberFormat="1" applyFont="1" applyBorder="1" applyAlignment="1" applyProtection="1">
      <alignment horizontal="center" vertical="center"/>
      <protection hidden="1"/>
    </xf>
    <xf numFmtId="20" fontId="28" fillId="0" borderId="22" xfId="1" applyNumberFormat="1" applyFont="1" applyBorder="1" applyAlignment="1" applyProtection="1">
      <alignment horizontal="center" vertical="center"/>
      <protection hidden="1"/>
    </xf>
    <xf numFmtId="0" fontId="5" fillId="13" borderId="20" xfId="1" applyFont="1" applyFill="1" applyBorder="1" applyAlignment="1" applyProtection="1">
      <alignment horizontal="center" vertical="center" shrinkToFit="1"/>
      <protection locked="0" hidden="1"/>
    </xf>
    <xf numFmtId="20" fontId="27" fillId="14" borderId="13" xfId="1" applyNumberFormat="1" applyFont="1" applyFill="1" applyBorder="1" applyAlignment="1" applyProtection="1">
      <alignment horizontal="center" vertical="center"/>
      <protection hidden="1"/>
    </xf>
    <xf numFmtId="20" fontId="28" fillId="14" borderId="13" xfId="1" applyNumberFormat="1" applyFont="1" applyFill="1" applyBorder="1" applyAlignment="1" applyProtection="1">
      <alignment horizontal="center" vertical="center" shrinkToFit="1"/>
      <protection locked="0" hidden="1"/>
    </xf>
    <xf numFmtId="20" fontId="28" fillId="14" borderId="33" xfId="1" applyNumberFormat="1" applyFont="1" applyFill="1" applyBorder="1" applyAlignment="1" applyProtection="1">
      <alignment horizontal="center" vertical="center"/>
      <protection hidden="1"/>
    </xf>
    <xf numFmtId="20" fontId="28" fillId="14" borderId="15" xfId="1" applyNumberFormat="1" applyFont="1" applyFill="1" applyBorder="1" applyAlignment="1" applyProtection="1">
      <alignment horizontal="center" vertical="center"/>
      <protection hidden="1"/>
    </xf>
    <xf numFmtId="20" fontId="29" fillId="11" borderId="41" xfId="1" applyNumberFormat="1" applyFont="1" applyFill="1" applyBorder="1" applyAlignment="1" applyProtection="1">
      <alignment horizontal="center" vertical="center"/>
      <protection hidden="1"/>
    </xf>
    <xf numFmtId="20" fontId="5" fillId="15" borderId="13" xfId="1" applyNumberFormat="1" applyFont="1" applyFill="1" applyBorder="1" applyAlignment="1" applyProtection="1">
      <alignment horizontal="center" vertical="center" shrinkToFit="1"/>
      <protection locked="0" hidden="1"/>
    </xf>
    <xf numFmtId="20" fontId="28" fillId="0" borderId="28" xfId="1" applyNumberFormat="1" applyFont="1" applyBorder="1" applyAlignment="1" applyProtection="1">
      <alignment horizontal="center" vertical="center"/>
      <protection hidden="1"/>
    </xf>
    <xf numFmtId="0" fontId="5" fillId="15" borderId="31" xfId="1" applyFont="1" applyFill="1" applyBorder="1" applyAlignment="1" applyProtection="1">
      <alignment horizontal="center" vertical="center" shrinkToFit="1"/>
      <protection locked="0" hidden="1"/>
    </xf>
    <xf numFmtId="0" fontId="5" fillId="13" borderId="15" xfId="1" applyFont="1" applyFill="1" applyBorder="1" applyAlignment="1" applyProtection="1">
      <alignment horizontal="center" vertical="center" shrinkToFit="1"/>
      <protection locked="0" hidden="1"/>
    </xf>
    <xf numFmtId="0" fontId="27" fillId="0" borderId="15" xfId="1" applyFont="1" applyBorder="1" applyAlignment="1" applyProtection="1">
      <alignment horizontal="center" vertical="center" shrinkToFit="1"/>
      <protection locked="0" hidden="1"/>
    </xf>
    <xf numFmtId="0" fontId="28" fillId="0" borderId="31" xfId="1" applyFont="1" applyBorder="1" applyAlignment="1" applyProtection="1">
      <alignment horizontal="center" vertical="center" shrinkToFit="1"/>
      <protection locked="0" hidden="1"/>
    </xf>
    <xf numFmtId="20" fontId="30" fillId="0" borderId="22" xfId="1" applyNumberFormat="1" applyFont="1" applyBorder="1" applyAlignment="1" applyProtection="1">
      <alignment horizontal="center" vertical="center"/>
      <protection hidden="1"/>
    </xf>
    <xf numFmtId="20" fontId="30" fillId="0" borderId="27" xfId="1" applyNumberFormat="1" applyFont="1" applyBorder="1" applyAlignment="1" applyProtection="1">
      <alignment horizontal="center" vertical="center"/>
      <protection hidden="1"/>
    </xf>
    <xf numFmtId="166" fontId="5" fillId="15" borderId="5" xfId="0" applyNumberFormat="1" applyFont="1" applyFill="1" applyBorder="1" applyAlignment="1" applyProtection="1">
      <alignment vertical="center" shrinkToFit="1"/>
      <protection hidden="1"/>
    </xf>
    <xf numFmtId="166" fontId="5" fillId="15" borderId="7" xfId="0" applyNumberFormat="1" applyFont="1" applyFill="1" applyBorder="1" applyAlignment="1" applyProtection="1">
      <alignment vertical="center" shrinkToFit="1"/>
      <protection hidden="1"/>
    </xf>
    <xf numFmtId="166" fontId="5" fillId="15" borderId="2" xfId="0" applyNumberFormat="1" applyFont="1" applyFill="1" applyBorder="1" applyAlignment="1" applyProtection="1">
      <alignment vertical="center" shrinkToFit="1"/>
      <protection hidden="1"/>
    </xf>
    <xf numFmtId="0" fontId="6" fillId="13" borderId="32" xfId="1" applyFont="1" applyFill="1" applyBorder="1" applyAlignment="1" applyProtection="1">
      <alignment horizontal="center" vertical="center" shrinkToFit="1"/>
      <protection locked="0" hidden="1"/>
    </xf>
    <xf numFmtId="20" fontId="6" fillId="13" borderId="41" xfId="1" applyNumberFormat="1" applyFont="1" applyFill="1" applyBorder="1" applyAlignment="1" applyProtection="1">
      <alignment horizontal="center" vertical="center" shrinkToFit="1"/>
      <protection locked="0" hidden="1"/>
    </xf>
    <xf numFmtId="20" fontId="6" fillId="13" borderId="44" xfId="1" applyNumberFormat="1" applyFont="1" applyFill="1" applyBorder="1" applyAlignment="1" applyProtection="1">
      <alignment horizontal="center" vertical="center" shrinkToFit="1"/>
      <protection locked="0" hidden="1"/>
    </xf>
    <xf numFmtId="0" fontId="7" fillId="5" borderId="24" xfId="0" applyFont="1" applyFill="1" applyBorder="1" applyAlignment="1" applyProtection="1">
      <alignment horizontal="center" vertical="center" shrinkToFit="1"/>
      <protection hidden="1"/>
    </xf>
    <xf numFmtId="0" fontId="7" fillId="5" borderId="23" xfId="0" applyFont="1" applyFill="1" applyBorder="1" applyAlignment="1" applyProtection="1">
      <alignment horizontal="center" vertical="center" shrinkToFit="1"/>
      <protection hidden="1"/>
    </xf>
    <xf numFmtId="0" fontId="7" fillId="0" borderId="24" xfId="0" applyFont="1" applyBorder="1" applyAlignment="1" applyProtection="1">
      <alignment horizontal="center" vertical="center" shrinkToFit="1"/>
      <protection hidden="1"/>
    </xf>
    <xf numFmtId="0" fontId="7" fillId="0" borderId="23" xfId="0" applyFont="1" applyBorder="1" applyAlignment="1" applyProtection="1">
      <alignment horizontal="center" vertical="center" shrinkToFit="1"/>
      <protection hidden="1"/>
    </xf>
    <xf numFmtId="167" fontId="3" fillId="2" borderId="10" xfId="0" applyNumberFormat="1" applyFont="1" applyFill="1" applyBorder="1" applyAlignment="1" applyProtection="1">
      <alignment horizontal="center" vertical="center"/>
      <protection hidden="1"/>
    </xf>
    <xf numFmtId="167" fontId="3" fillId="2" borderId="26" xfId="0" applyNumberFormat="1" applyFont="1" applyFill="1" applyBorder="1" applyAlignment="1" applyProtection="1">
      <alignment horizontal="center" vertical="center"/>
      <protection hidden="1"/>
    </xf>
    <xf numFmtId="0" fontId="7" fillId="5" borderId="8" xfId="0" applyFont="1" applyFill="1" applyBorder="1" applyAlignment="1" applyProtection="1">
      <alignment horizontal="center" vertical="center" shrinkToFit="1"/>
      <protection hidden="1"/>
    </xf>
    <xf numFmtId="0" fontId="7" fillId="5" borderId="19" xfId="0" applyFont="1" applyFill="1" applyBorder="1" applyAlignment="1" applyProtection="1">
      <alignment horizontal="center" vertical="center" shrinkToFit="1"/>
      <protection hidden="1"/>
    </xf>
    <xf numFmtId="0" fontId="7" fillId="5" borderId="25" xfId="0" applyFont="1" applyFill="1" applyBorder="1" applyAlignment="1" applyProtection="1">
      <alignment horizontal="center" vertical="center" shrinkToFit="1"/>
      <protection hidden="1"/>
    </xf>
    <xf numFmtId="0" fontId="6" fillId="3" borderId="8" xfId="0" applyFont="1" applyFill="1" applyBorder="1" applyAlignment="1" applyProtection="1">
      <alignment horizontal="center" textRotation="180"/>
      <protection hidden="1"/>
    </xf>
    <xf numFmtId="0" fontId="6" fillId="3" borderId="17" xfId="0" applyFont="1" applyFill="1" applyBorder="1" applyAlignment="1" applyProtection="1">
      <alignment horizontal="center" textRotation="180"/>
      <protection hidden="1"/>
    </xf>
    <xf numFmtId="167" fontId="9" fillId="6" borderId="10" xfId="0" applyNumberFormat="1" applyFont="1" applyFill="1" applyBorder="1" applyAlignment="1" applyProtection="1">
      <alignment horizontal="center" vertical="center" shrinkToFit="1"/>
      <protection hidden="1"/>
    </xf>
    <xf numFmtId="167" fontId="9" fillId="6" borderId="26" xfId="0" applyNumberFormat="1" applyFont="1" applyFill="1" applyBorder="1" applyAlignment="1" applyProtection="1">
      <alignment horizontal="center" vertical="center" shrinkToFit="1"/>
      <protection hidden="1"/>
    </xf>
    <xf numFmtId="167" fontId="9" fillId="6" borderId="11" xfId="0" applyNumberFormat="1" applyFont="1" applyFill="1" applyBorder="1" applyAlignment="1" applyProtection="1">
      <alignment horizontal="center" vertical="center" shrinkToFit="1"/>
      <protection hidden="1"/>
    </xf>
    <xf numFmtId="0" fontId="7" fillId="0" borderId="25" xfId="0" applyFont="1" applyBorder="1" applyAlignment="1" applyProtection="1">
      <alignment horizontal="center" vertical="center" shrinkToFit="1"/>
      <protection hidden="1"/>
    </xf>
    <xf numFmtId="20" fontId="6" fillId="20" borderId="24" xfId="1" applyNumberFormat="1" applyFont="1" applyFill="1" applyBorder="1" applyAlignment="1" applyProtection="1">
      <alignment horizontal="center" vertical="center"/>
      <protection hidden="1"/>
    </xf>
    <xf numFmtId="20" fontId="6" fillId="20" borderId="25" xfId="1" applyNumberFormat="1" applyFont="1" applyFill="1" applyBorder="1" applyAlignment="1" applyProtection="1">
      <alignment horizontal="center" vertical="center"/>
      <protection hidden="1"/>
    </xf>
    <xf numFmtId="20" fontId="6" fillId="5" borderId="24" xfId="1" applyNumberFormat="1" applyFont="1" applyFill="1" applyBorder="1" applyAlignment="1" applyProtection="1">
      <alignment horizontal="center" vertical="center"/>
      <protection hidden="1"/>
    </xf>
    <xf numFmtId="20" fontId="6" fillId="5" borderId="25" xfId="1" applyNumberFormat="1" applyFont="1" applyFill="1" applyBorder="1" applyAlignment="1" applyProtection="1">
      <alignment horizontal="center" vertical="center"/>
      <protection hidden="1"/>
    </xf>
    <xf numFmtId="0" fontId="6" fillId="3" borderId="24" xfId="0" applyFont="1" applyFill="1" applyBorder="1" applyAlignment="1" applyProtection="1">
      <alignment horizontal="center" textRotation="180"/>
      <protection hidden="1"/>
    </xf>
    <xf numFmtId="0" fontId="6" fillId="3" borderId="25" xfId="0" applyFont="1" applyFill="1" applyBorder="1" applyAlignment="1" applyProtection="1">
      <alignment horizontal="center" textRotation="180"/>
      <protection hidden="1"/>
    </xf>
    <xf numFmtId="0" fontId="6" fillId="11" borderId="24" xfId="0" applyFont="1" applyFill="1" applyBorder="1" applyAlignment="1" applyProtection="1">
      <alignment horizontal="center" vertical="center" shrinkToFit="1"/>
      <protection hidden="1"/>
    </xf>
    <xf numFmtId="0" fontId="6" fillId="11" borderId="23" xfId="0" applyFont="1" applyFill="1" applyBorder="1" applyAlignment="1" applyProtection="1">
      <alignment horizontal="center" vertical="center" shrinkToFit="1"/>
      <protection hidden="1"/>
    </xf>
    <xf numFmtId="20" fontId="25" fillId="5" borderId="24" xfId="1" applyNumberFormat="1" applyFont="1" applyFill="1" applyBorder="1" applyAlignment="1" applyProtection="1">
      <alignment horizontal="center" vertical="center"/>
      <protection hidden="1"/>
    </xf>
    <xf numFmtId="20" fontId="25" fillId="5" borderId="25" xfId="1" applyNumberFormat="1" applyFont="1" applyFill="1" applyBorder="1" applyAlignment="1" applyProtection="1">
      <alignment horizontal="center" vertical="center"/>
      <protection hidden="1"/>
    </xf>
    <xf numFmtId="20" fontId="24" fillId="5" borderId="24" xfId="1" applyNumberFormat="1" applyFont="1" applyFill="1" applyBorder="1" applyAlignment="1" applyProtection="1">
      <alignment horizontal="center" vertical="center"/>
      <protection hidden="1"/>
    </xf>
    <xf numFmtId="20" fontId="24" fillId="5" borderId="25" xfId="1" applyNumberFormat="1" applyFont="1" applyFill="1" applyBorder="1" applyAlignment="1" applyProtection="1">
      <alignment horizontal="center" vertical="center"/>
      <protection hidden="1"/>
    </xf>
    <xf numFmtId="20" fontId="6" fillId="5" borderId="20" xfId="1" applyNumberFormat="1" applyFont="1" applyFill="1" applyBorder="1" applyAlignment="1" applyProtection="1">
      <alignment horizontal="center" vertical="center" shrinkToFit="1"/>
      <protection hidden="1"/>
    </xf>
    <xf numFmtId="20" fontId="6" fillId="5" borderId="18" xfId="1" applyNumberFormat="1" applyFont="1" applyFill="1" applyBorder="1" applyAlignment="1" applyProtection="1">
      <alignment horizontal="center" vertical="center" shrinkToFit="1"/>
      <protection hidden="1"/>
    </xf>
    <xf numFmtId="0" fontId="6" fillId="11" borderId="19" xfId="0" applyFont="1" applyFill="1" applyBorder="1" applyAlignment="1" applyProtection="1">
      <alignment horizontal="center" vertical="center" shrinkToFit="1"/>
      <protection hidden="1"/>
    </xf>
    <xf numFmtId="20" fontId="6" fillId="11" borderId="24" xfId="1" applyNumberFormat="1" applyFont="1" applyFill="1" applyBorder="1" applyAlignment="1" applyProtection="1">
      <alignment horizontal="center" vertical="center"/>
      <protection hidden="1"/>
    </xf>
    <xf numFmtId="20" fontId="6" fillId="11" borderId="25" xfId="1" applyNumberFormat="1" applyFont="1" applyFill="1" applyBorder="1" applyAlignment="1" applyProtection="1">
      <alignment horizontal="center" vertical="center"/>
      <protection hidden="1"/>
    </xf>
  </cellXfs>
  <cellStyles count="2">
    <cellStyle name="Standaard" xfId="0" builtinId="0"/>
    <cellStyle name="Standaard 2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CAC5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5.bin"/><Relationship Id="rId3" Type="http://schemas.openxmlformats.org/officeDocument/2006/relationships/printerSettings" Target="../printerSettings/printerSettings10.bin"/><Relationship Id="rId7" Type="http://schemas.openxmlformats.org/officeDocument/2006/relationships/printerSettings" Target="../printerSettings/printerSettings14.bin"/><Relationship Id="rId12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Relationship Id="rId6" Type="http://schemas.openxmlformats.org/officeDocument/2006/relationships/printerSettings" Target="../printerSettings/printerSettings13.bin"/><Relationship Id="rId11" Type="http://schemas.openxmlformats.org/officeDocument/2006/relationships/printerSettings" Target="../printerSettings/printerSettings18.bin"/><Relationship Id="rId5" Type="http://schemas.openxmlformats.org/officeDocument/2006/relationships/printerSettings" Target="../printerSettings/printerSettings12.bin"/><Relationship Id="rId10" Type="http://schemas.openxmlformats.org/officeDocument/2006/relationships/printerSettings" Target="../printerSettings/printerSettings17.bin"/><Relationship Id="rId4" Type="http://schemas.openxmlformats.org/officeDocument/2006/relationships/printerSettings" Target="../printerSettings/printerSettings11.bin"/><Relationship Id="rId9" Type="http://schemas.openxmlformats.org/officeDocument/2006/relationships/printerSettings" Target="../printerSettings/printerSettings16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7.bin"/><Relationship Id="rId3" Type="http://schemas.openxmlformats.org/officeDocument/2006/relationships/printerSettings" Target="../printerSettings/printerSettings22.bin"/><Relationship Id="rId7" Type="http://schemas.openxmlformats.org/officeDocument/2006/relationships/printerSettings" Target="../printerSettings/printerSettings26.bin"/><Relationship Id="rId12" Type="http://schemas.openxmlformats.org/officeDocument/2006/relationships/printerSettings" Target="../printerSettings/printerSettings31.bin"/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Relationship Id="rId6" Type="http://schemas.openxmlformats.org/officeDocument/2006/relationships/printerSettings" Target="../printerSettings/printerSettings25.bin"/><Relationship Id="rId11" Type="http://schemas.openxmlformats.org/officeDocument/2006/relationships/printerSettings" Target="../printerSettings/printerSettings30.bin"/><Relationship Id="rId5" Type="http://schemas.openxmlformats.org/officeDocument/2006/relationships/printerSettings" Target="../printerSettings/printerSettings24.bin"/><Relationship Id="rId10" Type="http://schemas.openxmlformats.org/officeDocument/2006/relationships/printerSettings" Target="../printerSettings/printerSettings29.bin"/><Relationship Id="rId4" Type="http://schemas.openxmlformats.org/officeDocument/2006/relationships/printerSettings" Target="../printerSettings/printerSettings23.bin"/><Relationship Id="rId9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43"/>
  <sheetViews>
    <sheetView tabSelected="1" showRuler="0" topLeftCell="A6" zoomScale="70" zoomScaleNormal="70" workbookViewId="0">
      <selection activeCell="S25" sqref="S25"/>
    </sheetView>
  </sheetViews>
  <sheetFormatPr defaultRowHeight="13" x14ac:dyDescent="0.3"/>
  <cols>
    <col min="1" max="2" width="3" customWidth="1"/>
    <col min="3" max="3" width="38" customWidth="1"/>
    <col min="4" max="4" width="25.08984375" customWidth="1"/>
    <col min="5" max="5" width="9.453125" customWidth="1"/>
    <col min="6" max="6" width="12.453125" customWidth="1"/>
    <col min="7" max="9" width="4.90625" customWidth="1"/>
    <col min="10" max="10" width="11.54296875" customWidth="1"/>
    <col min="11" max="13" width="5.54296875" customWidth="1"/>
    <col min="14" max="14" width="11.54296875" customWidth="1"/>
    <col min="15" max="17" width="5.453125" customWidth="1"/>
    <col min="18" max="18" width="11.54296875" customWidth="1"/>
    <col min="20" max="20" width="16.90625" customWidth="1"/>
    <col min="21" max="23" width="5.453125" customWidth="1"/>
    <col min="24" max="24" width="0.90625" customWidth="1"/>
    <col min="25" max="35" width="6.54296875" customWidth="1"/>
  </cols>
  <sheetData>
    <row r="1" spans="1:36" ht="30.65" customHeight="1" thickBot="1" x14ac:dyDescent="0.35">
      <c r="A1" s="533" t="s">
        <v>24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"/>
      <c r="P1" s="54" t="s">
        <v>0</v>
      </c>
      <c r="Q1" s="54"/>
      <c r="R1" s="54"/>
      <c r="S1" s="54"/>
      <c r="T1" s="55"/>
      <c r="U1" s="56"/>
      <c r="V1" s="56"/>
      <c r="W1" s="57"/>
      <c r="X1" s="548"/>
      <c r="Y1" s="40"/>
      <c r="Z1" s="5"/>
      <c r="AA1" s="5"/>
      <c r="AB1" s="5"/>
      <c r="AC1" s="5"/>
      <c r="AD1" s="5"/>
      <c r="AE1" s="5"/>
      <c r="AF1" s="5"/>
      <c r="AG1" s="5"/>
      <c r="AH1" s="5"/>
      <c r="AI1" s="41"/>
      <c r="AJ1" s="17"/>
    </row>
    <row r="2" spans="1:36" ht="27.65" customHeight="1" thickBot="1" x14ac:dyDescent="0.35">
      <c r="A2" s="540" t="s">
        <v>23</v>
      </c>
      <c r="B2" s="541"/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2"/>
      <c r="O2" s="67"/>
      <c r="P2" s="67"/>
      <c r="Q2" s="67"/>
      <c r="R2" s="67"/>
      <c r="S2" s="67"/>
      <c r="T2" s="67"/>
      <c r="U2" s="67"/>
      <c r="V2" s="67"/>
      <c r="W2" s="68"/>
      <c r="X2" s="549"/>
      <c r="Y2" s="195"/>
      <c r="Z2" s="196"/>
      <c r="AA2" s="196"/>
      <c r="AB2" s="196"/>
      <c r="AC2" s="196"/>
      <c r="AD2" s="196"/>
      <c r="AE2" s="196"/>
      <c r="AF2" s="196"/>
      <c r="AG2" s="196"/>
      <c r="AH2" s="196"/>
      <c r="AI2" s="197"/>
      <c r="AJ2" s="1">
        <f>SUM(Y2:AI2)</f>
        <v>0</v>
      </c>
    </row>
    <row r="3" spans="1:36" ht="40.25" customHeight="1" thickBot="1" x14ac:dyDescent="0.35">
      <c r="A3" s="69"/>
      <c r="B3" s="70"/>
      <c r="C3" s="73" t="s">
        <v>2</v>
      </c>
      <c r="D3" s="74" t="s">
        <v>3</v>
      </c>
      <c r="E3" s="80" t="s">
        <v>4</v>
      </c>
      <c r="F3" s="75" t="s">
        <v>5</v>
      </c>
      <c r="G3" s="76"/>
      <c r="H3" s="75"/>
      <c r="I3" s="76"/>
      <c r="J3" s="79" t="s">
        <v>6</v>
      </c>
      <c r="K3" s="77"/>
      <c r="L3" s="77"/>
      <c r="M3" s="77"/>
      <c r="N3" s="78" t="s">
        <v>7</v>
      </c>
      <c r="O3" s="76"/>
      <c r="P3" s="77"/>
      <c r="Q3" s="77"/>
      <c r="R3" s="180"/>
      <c r="S3" s="181" t="s">
        <v>19</v>
      </c>
      <c r="T3" s="205" t="s">
        <v>20</v>
      </c>
      <c r="U3" s="47"/>
      <c r="V3" s="47"/>
      <c r="W3" s="48"/>
      <c r="X3" s="550"/>
      <c r="Y3" s="440" t="s">
        <v>71</v>
      </c>
      <c r="Z3" s="440" t="s">
        <v>72</v>
      </c>
      <c r="AA3" s="440" t="s">
        <v>37</v>
      </c>
      <c r="AB3" s="440" t="s">
        <v>73</v>
      </c>
      <c r="AC3" s="440" t="s">
        <v>74</v>
      </c>
      <c r="AD3" s="440" t="s">
        <v>75</v>
      </c>
      <c r="AE3" s="440" t="s">
        <v>76</v>
      </c>
      <c r="AF3" s="440" t="s">
        <v>77</v>
      </c>
      <c r="AG3" s="440" t="s">
        <v>56</v>
      </c>
      <c r="AH3" s="440" t="s">
        <v>78</v>
      </c>
      <c r="AI3" s="440"/>
      <c r="AJ3" s="1"/>
    </row>
    <row r="4" spans="1:36" ht="18" customHeight="1" x14ac:dyDescent="0.3">
      <c r="A4" s="169" t="s">
        <v>15</v>
      </c>
      <c r="B4" s="170">
        <v>2</v>
      </c>
      <c r="C4" s="182"/>
      <c r="D4" s="171" t="s">
        <v>79</v>
      </c>
      <c r="E4" s="476" t="s">
        <v>37</v>
      </c>
      <c r="F4" s="172" t="s">
        <v>94</v>
      </c>
      <c r="G4" s="103">
        <v>0.58333333333333337</v>
      </c>
      <c r="H4" s="103">
        <v>0.89583333333333337</v>
      </c>
      <c r="I4" s="173">
        <f t="shared" ref="I4:I8" si="0">H4-G4</f>
        <v>0.3125</v>
      </c>
      <c r="J4" s="509" t="s">
        <v>71</v>
      </c>
      <c r="K4" s="153">
        <v>0.58333333333333337</v>
      </c>
      <c r="L4" s="154">
        <v>0.89583333333333337</v>
      </c>
      <c r="M4" s="155">
        <f t="shared" ref="M4:M6" si="1">L4-K4</f>
        <v>0.3125</v>
      </c>
      <c r="N4" s="156" t="s">
        <v>76</v>
      </c>
      <c r="O4" s="153">
        <v>0.64583333333333337</v>
      </c>
      <c r="P4" s="153">
        <v>0.89583333333333337</v>
      </c>
      <c r="Q4" s="157">
        <f>P4-O4</f>
        <v>0.25</v>
      </c>
      <c r="R4" s="244"/>
      <c r="S4" s="506" t="s">
        <v>56</v>
      </c>
      <c r="T4" s="242"/>
      <c r="U4" s="153">
        <v>0.875</v>
      </c>
      <c r="V4" s="153">
        <v>0.39583333333333331</v>
      </c>
      <c r="W4" s="160">
        <v>0.41666666666666669</v>
      </c>
      <c r="X4" s="558"/>
      <c r="Y4" s="436">
        <f>IF($J4=Y$3,$M4,IF($N4=Y$3,$Q4,IF($S4=Y$3,$W4,IF($T4=Y$3,$X4,""))))</f>
        <v>0.3125</v>
      </c>
      <c r="Z4" s="437" t="str">
        <f>IF($J4=Z$3,$M4,IF($N4=Z$3,$Q4,IF($S4=Z$3,$W4,IF($T4=Z$3,$X4,""))))</f>
        <v/>
      </c>
      <c r="AA4" s="437" t="str">
        <f>IF($J4=AA$3,$M4,IF($N4=AA$3,$Q4,IF($S4=AA$3,$W4,IF($T4=AA$3,$X4,""))))</f>
        <v/>
      </c>
      <c r="AB4" s="437" t="str">
        <f>IF($J4=AB$3,$M4,IF($N4=AB$3,$Q4,IF($S4=AB$3,$W4,IF($T4=AB$3,$X4,""))))</f>
        <v/>
      </c>
      <c r="AC4" s="437">
        <v>4.1666666666666664E-2</v>
      </c>
      <c r="AD4" s="523"/>
      <c r="AE4" s="437">
        <f>IF($J4=AE$3,$M4,IF($N4=AE$3,$Q4,IF($S4=AE$3,$W4,IF($T4=AE$3,$X4,""))))</f>
        <v>0.25</v>
      </c>
      <c r="AF4" s="482">
        <v>0.125</v>
      </c>
      <c r="AG4" s="437">
        <f>IF($J4=AG$3,$M4,IF($N4=AG$3,$Q4,IF($S4=AG$3,$W4,IF($T4=AG$3,$X4,""))))</f>
        <v>0.41666666666666669</v>
      </c>
      <c r="AH4" s="437" t="str">
        <f>IF($J4=AH$3,$M4,IF($N4=AH$3,$Q4,IF($S4=AH$3,$W4,IF($T4=AH$3,$X4,""))))</f>
        <v/>
      </c>
      <c r="AI4" s="437">
        <f>IF($J4=AI$3,$M4,IF($N4=AI$3,$Q4,IF($S4=AI$3,$W4,IF($T4=AI$3,$X4,""))))</f>
        <v>0</v>
      </c>
      <c r="AJ4" s="1"/>
    </row>
    <row r="5" spans="1:36" ht="18" customHeight="1" x14ac:dyDescent="0.3">
      <c r="A5" s="62" t="s">
        <v>9</v>
      </c>
      <c r="B5" s="63">
        <v>3</v>
      </c>
      <c r="C5" s="183" t="s">
        <v>82</v>
      </c>
      <c r="D5" s="174" t="s">
        <v>80</v>
      </c>
      <c r="E5" s="429" t="s">
        <v>73</v>
      </c>
      <c r="F5" s="175" t="s">
        <v>94</v>
      </c>
      <c r="G5" s="103">
        <v>0.41666666666666669</v>
      </c>
      <c r="H5" s="103">
        <v>0.89583333333333337</v>
      </c>
      <c r="I5" s="113">
        <f t="shared" si="0"/>
        <v>0.47916666666666669</v>
      </c>
      <c r="J5" s="115" t="s">
        <v>71</v>
      </c>
      <c r="K5" s="103">
        <v>0.58333333333333337</v>
      </c>
      <c r="L5" s="140">
        <v>0.89583333333333337</v>
      </c>
      <c r="M5" s="113">
        <f t="shared" si="1"/>
        <v>0.3125</v>
      </c>
      <c r="N5" s="494"/>
      <c r="O5" s="103">
        <v>0.64583333333333337</v>
      </c>
      <c r="P5" s="103">
        <v>0.89583333333333337</v>
      </c>
      <c r="Q5" s="157">
        <f t="shared" ref="Q5:Q10" si="2">P5-O5</f>
        <v>0.25</v>
      </c>
      <c r="R5" s="245"/>
      <c r="S5" s="507" t="s">
        <v>74</v>
      </c>
      <c r="T5" s="243"/>
      <c r="U5" s="103">
        <v>0.875</v>
      </c>
      <c r="V5" s="103">
        <v>0.39583333333333331</v>
      </c>
      <c r="W5" s="104">
        <v>0.41666666666666669</v>
      </c>
      <c r="X5" s="558"/>
      <c r="Y5" s="438">
        <v>0.45833333333333331</v>
      </c>
      <c r="Z5" s="439">
        <v>0.125</v>
      </c>
      <c r="AA5" s="439" t="str">
        <f t="shared" ref="AA5:AC10" si="3">IF($J5=AA$3,$M5,IF($N5=AA$3,$Q5,IF($S5=AA$3,$W5,IF($T5=AA$3,$X5,""))))</f>
        <v/>
      </c>
      <c r="AB5" s="439" t="str">
        <f t="shared" si="3"/>
        <v/>
      </c>
      <c r="AC5" s="439">
        <v>0.125</v>
      </c>
      <c r="AD5" s="478"/>
      <c r="AE5" s="439">
        <v>0.125</v>
      </c>
      <c r="AF5" s="480">
        <v>0.125</v>
      </c>
      <c r="AG5" s="439">
        <v>0.125</v>
      </c>
      <c r="AH5" s="439">
        <v>0.45833333333333331</v>
      </c>
      <c r="AI5" s="439">
        <f t="shared" ref="AI5:AI31" si="4">IF($J5=AI$3,$M5,IF($N5=AI$3,$Q5,IF($S5=AI$3,$W5,IF($T5=AI$3,$X5,""))))</f>
        <v>0.25</v>
      </c>
      <c r="AJ5" s="1"/>
    </row>
    <row r="6" spans="1:36" ht="18" customHeight="1" x14ac:dyDescent="0.3">
      <c r="A6" s="60" t="s">
        <v>10</v>
      </c>
      <c r="B6" s="61">
        <v>4</v>
      </c>
      <c r="C6" s="183" t="s">
        <v>96</v>
      </c>
      <c r="D6" s="174" t="s">
        <v>80</v>
      </c>
      <c r="E6" s="229"/>
      <c r="F6" s="199"/>
      <c r="G6" s="103"/>
      <c r="H6" s="103"/>
      <c r="I6" s="113">
        <f t="shared" si="0"/>
        <v>0</v>
      </c>
      <c r="J6" s="498" t="s">
        <v>74</v>
      </c>
      <c r="K6" s="105">
        <v>0.47916666666666669</v>
      </c>
      <c r="L6" s="141">
        <v>0.89583333333333337</v>
      </c>
      <c r="M6" s="113">
        <f t="shared" si="1"/>
        <v>0.41666666666666669</v>
      </c>
      <c r="N6" s="498" t="s">
        <v>76</v>
      </c>
      <c r="O6" s="103">
        <v>0.47916666666666669</v>
      </c>
      <c r="P6" s="103">
        <v>0.89583333333333337</v>
      </c>
      <c r="Q6" s="157">
        <f t="shared" si="2"/>
        <v>0.41666666666666669</v>
      </c>
      <c r="R6" s="245"/>
      <c r="S6" s="508" t="s">
        <v>71</v>
      </c>
      <c r="T6" s="243"/>
      <c r="U6" s="105">
        <v>0.875</v>
      </c>
      <c r="V6" s="105">
        <v>0.39583333333333331</v>
      </c>
      <c r="W6" s="106">
        <v>0.41666666666666669</v>
      </c>
      <c r="X6" s="558"/>
      <c r="Y6" s="438">
        <f t="shared" ref="Y6:Z10" si="5">IF($J6=Y$3,$M6,IF($N6=Y$3,$Q6,IF($S6=Y$3,$W6,IF($T6=Y$3,$X6,""))))</f>
        <v>0.41666666666666669</v>
      </c>
      <c r="Z6" s="439" t="str">
        <f t="shared" si="5"/>
        <v/>
      </c>
      <c r="AA6" s="439" t="str">
        <f t="shared" si="3"/>
        <v/>
      </c>
      <c r="AB6" s="439" t="str">
        <f t="shared" si="3"/>
        <v/>
      </c>
      <c r="AC6" s="439">
        <f t="shared" si="3"/>
        <v>0.41666666666666669</v>
      </c>
      <c r="AD6" s="478" t="str">
        <f t="shared" ref="AD6:AE11" si="6">IF($J6=AD$3,$M6,IF($N6=AD$3,$Q6,IF($S6=AD$3,$W6,IF($T6=AD$3,$X6,""))))</f>
        <v/>
      </c>
      <c r="AE6" s="439">
        <f t="shared" si="6"/>
        <v>0.41666666666666669</v>
      </c>
      <c r="AF6" s="480">
        <v>0.125</v>
      </c>
      <c r="AG6" s="439" t="str">
        <f>IF($J6=AG$3,$M6,IF($N6=AG$3,$Q6,IF($S6=AG$3,$W6,IF($T6=AG$3,$X6,""))))</f>
        <v/>
      </c>
      <c r="AH6" s="439" t="str">
        <f>IF($J6=AH$3,$M6,IF($N6=AH$3,$Q6,IF($S6=AH$3,$W6,IF($T6=AH$3,$X6,""))))</f>
        <v/>
      </c>
      <c r="AI6" s="439">
        <f t="shared" si="4"/>
        <v>0</v>
      </c>
      <c r="AJ6" s="1"/>
    </row>
    <row r="7" spans="1:36" ht="18" customHeight="1" x14ac:dyDescent="0.3">
      <c r="A7" s="62" t="s">
        <v>11</v>
      </c>
      <c r="B7" s="63">
        <v>5</v>
      </c>
      <c r="C7" s="201" t="s">
        <v>70</v>
      </c>
      <c r="D7" s="174" t="s">
        <v>80</v>
      </c>
      <c r="E7" s="229"/>
      <c r="F7" s="199" t="s">
        <v>94</v>
      </c>
      <c r="G7" s="103">
        <v>0.58333333333333337</v>
      </c>
      <c r="H7" s="103">
        <v>0.89583333333333337</v>
      </c>
      <c r="I7" s="113">
        <f t="shared" si="0"/>
        <v>0.3125</v>
      </c>
      <c r="J7" s="114" t="s">
        <v>76</v>
      </c>
      <c r="K7" s="103">
        <v>0.58333333333333337</v>
      </c>
      <c r="L7" s="140">
        <v>0.89583333333333337</v>
      </c>
      <c r="M7" s="113">
        <f>L7-K7</f>
        <v>0.3125</v>
      </c>
      <c r="N7" s="114" t="s">
        <v>37</v>
      </c>
      <c r="O7" s="103">
        <v>0.64583333333333337</v>
      </c>
      <c r="P7" s="103">
        <v>0.89583333333333337</v>
      </c>
      <c r="Q7" s="157">
        <f t="shared" si="2"/>
        <v>0.25</v>
      </c>
      <c r="R7" s="245"/>
      <c r="S7" s="507" t="s">
        <v>75</v>
      </c>
      <c r="T7" s="243"/>
      <c r="U7" s="103">
        <v>0.875</v>
      </c>
      <c r="V7" s="103">
        <v>0.39583333333333331</v>
      </c>
      <c r="W7" s="104">
        <v>0.41666666666666669</v>
      </c>
      <c r="X7" s="558"/>
      <c r="Y7" s="438" t="str">
        <f t="shared" si="5"/>
        <v/>
      </c>
      <c r="Z7" s="439" t="str">
        <f t="shared" si="5"/>
        <v/>
      </c>
      <c r="AA7" s="439">
        <f t="shared" si="3"/>
        <v>0.25</v>
      </c>
      <c r="AB7" s="439" t="str">
        <f t="shared" si="3"/>
        <v/>
      </c>
      <c r="AC7" s="439" t="str">
        <f t="shared" si="3"/>
        <v/>
      </c>
      <c r="AD7" s="478"/>
      <c r="AE7" s="439">
        <f t="shared" si="6"/>
        <v>0.3125</v>
      </c>
      <c r="AF7" s="480">
        <v>0.125</v>
      </c>
      <c r="AG7" s="480">
        <v>0.41666666666666669</v>
      </c>
      <c r="AH7" s="478"/>
      <c r="AI7" s="439">
        <f t="shared" si="4"/>
        <v>0</v>
      </c>
      <c r="AJ7" s="1"/>
    </row>
    <row r="8" spans="1:36" ht="18" customHeight="1" thickBot="1" x14ac:dyDescent="0.35">
      <c r="A8" s="58" t="s">
        <v>12</v>
      </c>
      <c r="B8" s="59">
        <v>6</v>
      </c>
      <c r="C8" s="184"/>
      <c r="D8" s="176" t="s">
        <v>80</v>
      </c>
      <c r="E8" s="204"/>
      <c r="F8" s="177"/>
      <c r="G8" s="103"/>
      <c r="H8" s="103"/>
      <c r="I8" s="178">
        <f t="shared" si="0"/>
        <v>0</v>
      </c>
      <c r="J8" s="107" t="s">
        <v>71</v>
      </c>
      <c r="K8" s="108">
        <v>0.58333333333333337</v>
      </c>
      <c r="L8" s="109">
        <v>0.83333333333333337</v>
      </c>
      <c r="M8" s="142">
        <f>L8-K8</f>
        <v>0.25</v>
      </c>
      <c r="N8" s="517"/>
      <c r="O8" s="165">
        <v>0.64583333333333337</v>
      </c>
      <c r="P8" s="165">
        <v>0.83333333333333337</v>
      </c>
      <c r="Q8" s="166">
        <f t="shared" si="2"/>
        <v>0.1875</v>
      </c>
      <c r="R8" s="246"/>
      <c r="S8" s="516" t="s">
        <v>56</v>
      </c>
      <c r="T8" s="243"/>
      <c r="U8" s="108">
        <v>0.79166666666666663</v>
      </c>
      <c r="V8" s="108">
        <v>0.45833333333333331</v>
      </c>
      <c r="W8" s="110">
        <v>0.47916666666666669</v>
      </c>
      <c r="X8" s="558"/>
      <c r="Y8" s="441">
        <f t="shared" si="5"/>
        <v>0.25</v>
      </c>
      <c r="Z8" s="442" t="str">
        <f t="shared" si="5"/>
        <v/>
      </c>
      <c r="AA8" s="442" t="str">
        <f t="shared" si="3"/>
        <v/>
      </c>
      <c r="AB8" s="442" t="str">
        <f t="shared" si="3"/>
        <v/>
      </c>
      <c r="AC8" s="442" t="str">
        <f t="shared" si="3"/>
        <v/>
      </c>
      <c r="AD8" s="524" t="str">
        <f t="shared" si="6"/>
        <v/>
      </c>
      <c r="AE8" s="442" t="str">
        <f t="shared" si="6"/>
        <v/>
      </c>
      <c r="AF8" s="483">
        <v>0.125</v>
      </c>
      <c r="AG8" s="442">
        <f t="shared" ref="AG8:AH11" si="7">IF($J8=AG$3,$M8,IF($N8=AG$3,$Q8,IF($S8=AG$3,$W8,IF($T8=AG$3,$X8,""))))</f>
        <v>0.47916666666666669</v>
      </c>
      <c r="AH8" s="524" t="str">
        <f t="shared" si="7"/>
        <v/>
      </c>
      <c r="AI8" s="442">
        <f t="shared" si="4"/>
        <v>0.1875</v>
      </c>
      <c r="AJ8" s="1"/>
    </row>
    <row r="9" spans="1:36" ht="18" customHeight="1" thickBot="1" x14ac:dyDescent="0.35">
      <c r="A9" s="447" t="s">
        <v>13</v>
      </c>
      <c r="B9" s="448">
        <v>7</v>
      </c>
      <c r="C9" s="449"/>
      <c r="D9" s="450" t="s">
        <v>80</v>
      </c>
      <c r="E9" s="451"/>
      <c r="F9" s="452"/>
      <c r="G9" s="453"/>
      <c r="H9" s="453"/>
      <c r="I9" s="454">
        <v>0.33333333333333331</v>
      </c>
      <c r="J9" s="499" t="s">
        <v>97</v>
      </c>
      <c r="K9" s="453">
        <v>0.4375</v>
      </c>
      <c r="L9" s="456">
        <v>0.83333333333333337</v>
      </c>
      <c r="M9" s="454">
        <f t="shared" ref="M9:M13" si="8">L9-K9</f>
        <v>0.39583333333333337</v>
      </c>
      <c r="N9" s="455"/>
      <c r="O9" s="453"/>
      <c r="P9" s="456"/>
      <c r="Q9" s="454">
        <f t="shared" si="2"/>
        <v>0</v>
      </c>
      <c r="R9" s="457"/>
      <c r="S9" s="458" t="s">
        <v>74</v>
      </c>
      <c r="T9" s="559" t="s">
        <v>52</v>
      </c>
      <c r="U9" s="459">
        <v>0.79166666666666663</v>
      </c>
      <c r="V9" s="459">
        <v>0.45833333333333331</v>
      </c>
      <c r="W9" s="460">
        <v>0.47916666666666669</v>
      </c>
      <c r="X9" s="558"/>
      <c r="Y9" s="445" t="str">
        <f t="shared" si="5"/>
        <v/>
      </c>
      <c r="Z9" s="446" t="str">
        <f t="shared" si="5"/>
        <v/>
      </c>
      <c r="AA9" s="446" t="str">
        <f t="shared" si="3"/>
        <v/>
      </c>
      <c r="AB9" s="446" t="str">
        <f t="shared" si="3"/>
        <v/>
      </c>
      <c r="AC9" s="446">
        <f t="shared" si="3"/>
        <v>0.47916666666666669</v>
      </c>
      <c r="AD9" s="479" t="str">
        <f t="shared" si="6"/>
        <v/>
      </c>
      <c r="AE9" s="446" t="str">
        <f t="shared" si="6"/>
        <v/>
      </c>
      <c r="AF9" s="481" t="str">
        <f>IF($J9=AF$3,$M9,IF($N9=AF$3,$Q9,IF($S9=AF$3,$W9,IF($T9=AF$3,$X9,""))))</f>
        <v/>
      </c>
      <c r="AG9" s="446" t="str">
        <f t="shared" si="7"/>
        <v/>
      </c>
      <c r="AH9" s="479" t="str">
        <f t="shared" si="7"/>
        <v/>
      </c>
      <c r="AI9" s="446">
        <f t="shared" si="4"/>
        <v>0</v>
      </c>
      <c r="AJ9" s="1"/>
    </row>
    <row r="10" spans="1:36" ht="18" customHeight="1" thickBot="1" x14ac:dyDescent="0.35">
      <c r="A10" s="461" t="s">
        <v>14</v>
      </c>
      <c r="B10" s="462">
        <v>8</v>
      </c>
      <c r="C10" s="463"/>
      <c r="D10" s="464" t="s">
        <v>80</v>
      </c>
      <c r="E10" s="465"/>
      <c r="F10" s="466"/>
      <c r="G10" s="467"/>
      <c r="H10" s="467"/>
      <c r="I10" s="468">
        <f t="shared" ref="I10:I17" si="9">H10-G10</f>
        <v>0</v>
      </c>
      <c r="J10" s="526" t="s">
        <v>56</v>
      </c>
      <c r="K10" s="527">
        <v>0.79166666666666663</v>
      </c>
      <c r="L10" s="528">
        <v>0.92708333333333337</v>
      </c>
      <c r="M10" s="472">
        <f t="shared" si="8"/>
        <v>0.13541666666666674</v>
      </c>
      <c r="N10" s="469"/>
      <c r="O10" s="470"/>
      <c r="P10" s="471"/>
      <c r="Q10" s="472">
        <f t="shared" si="2"/>
        <v>0</v>
      </c>
      <c r="R10" s="473"/>
      <c r="S10" s="514" t="s">
        <v>76</v>
      </c>
      <c r="T10" s="560"/>
      <c r="U10" s="474">
        <v>0.79166666666666663</v>
      </c>
      <c r="V10" s="474">
        <v>0.45833333333333331</v>
      </c>
      <c r="W10" s="475">
        <v>0.5</v>
      </c>
      <c r="X10" s="558"/>
      <c r="Y10" s="445" t="str">
        <f t="shared" si="5"/>
        <v/>
      </c>
      <c r="Z10" s="446" t="str">
        <f t="shared" si="5"/>
        <v/>
      </c>
      <c r="AA10" s="446" t="str">
        <f t="shared" si="3"/>
        <v/>
      </c>
      <c r="AB10" s="446" t="str">
        <f t="shared" si="3"/>
        <v/>
      </c>
      <c r="AC10" s="446" t="str">
        <f t="shared" si="3"/>
        <v/>
      </c>
      <c r="AD10" s="479" t="str">
        <f t="shared" si="6"/>
        <v/>
      </c>
      <c r="AE10" s="446">
        <f t="shared" si="6"/>
        <v>0.5</v>
      </c>
      <c r="AF10" s="481" t="str">
        <f>IF($J10=AF$3,$M10,IF($N10=AF$3,$Q10,IF($S10=AF$3,$W10,IF($T10=AF$3,$X10,""))))</f>
        <v/>
      </c>
      <c r="AG10" s="446">
        <f t="shared" si="7"/>
        <v>0.13541666666666674</v>
      </c>
      <c r="AH10" s="479" t="str">
        <f t="shared" si="7"/>
        <v/>
      </c>
      <c r="AI10" s="446">
        <f t="shared" si="4"/>
        <v>0</v>
      </c>
      <c r="AJ10" s="1"/>
    </row>
    <row r="11" spans="1:36" ht="18" customHeight="1" x14ac:dyDescent="0.3">
      <c r="A11" s="169" t="s">
        <v>15</v>
      </c>
      <c r="B11" s="170">
        <v>9</v>
      </c>
      <c r="C11" s="182" t="s">
        <v>57</v>
      </c>
      <c r="D11" s="171"/>
      <c r="E11" s="476" t="s">
        <v>74</v>
      </c>
      <c r="F11" s="172" t="s">
        <v>76</v>
      </c>
      <c r="G11" s="103">
        <v>0.58333333333333337</v>
      </c>
      <c r="H11" s="103">
        <v>0.89583333333333337</v>
      </c>
      <c r="I11" s="173">
        <f t="shared" si="9"/>
        <v>0.3125</v>
      </c>
      <c r="J11" s="152" t="s">
        <v>48</v>
      </c>
      <c r="K11" s="153">
        <v>0.58333333333333337</v>
      </c>
      <c r="L11" s="154">
        <v>0.92708333333333337</v>
      </c>
      <c r="M11" s="155">
        <f t="shared" si="8"/>
        <v>0.34375</v>
      </c>
      <c r="N11" s="515"/>
      <c r="O11" s="153">
        <v>0.64583333333333337</v>
      </c>
      <c r="P11" s="153">
        <v>0.89583333333333337</v>
      </c>
      <c r="Q11" s="157">
        <f>P11-O11</f>
        <v>0.25</v>
      </c>
      <c r="R11" s="244"/>
      <c r="S11" s="521" t="s">
        <v>71</v>
      </c>
      <c r="T11" s="242"/>
      <c r="U11" s="153">
        <v>0.79166666666666663</v>
      </c>
      <c r="V11" s="153">
        <v>0.45833333333333331</v>
      </c>
      <c r="W11" s="160">
        <v>0.41666666666666669</v>
      </c>
      <c r="X11" s="558"/>
      <c r="Y11" s="443"/>
      <c r="Z11" s="444">
        <v>0.125</v>
      </c>
      <c r="AA11" s="444">
        <v>0.125</v>
      </c>
      <c r="AB11" s="444">
        <v>0.125</v>
      </c>
      <c r="AC11" s="444">
        <v>0.22916666666666666</v>
      </c>
      <c r="AD11" s="525" t="str">
        <f t="shared" si="6"/>
        <v/>
      </c>
      <c r="AE11" s="444" t="str">
        <f t="shared" si="6"/>
        <v/>
      </c>
      <c r="AF11" s="444" t="str">
        <f>IF($J11=AF$3,$M11,IF($N11=AF$3,$Q11,IF($S11=AF$3,$W11,IF($T11=AF$3,$X11,""))))</f>
        <v/>
      </c>
      <c r="AG11" s="444" t="str">
        <f t="shared" si="7"/>
        <v/>
      </c>
      <c r="AH11" s="525" t="str">
        <f t="shared" si="7"/>
        <v/>
      </c>
      <c r="AI11" s="444">
        <f t="shared" si="4"/>
        <v>0.25</v>
      </c>
      <c r="AJ11" s="1"/>
    </row>
    <row r="12" spans="1:36" ht="18" customHeight="1" x14ac:dyDescent="0.3">
      <c r="A12" s="62" t="s">
        <v>9</v>
      </c>
      <c r="B12" s="63">
        <v>10</v>
      </c>
      <c r="C12" s="183" t="s">
        <v>82</v>
      </c>
      <c r="D12" s="174"/>
      <c r="E12" s="229"/>
      <c r="F12" s="175" t="s">
        <v>86</v>
      </c>
      <c r="G12" s="103">
        <v>0.41666666666666669</v>
      </c>
      <c r="H12" s="103">
        <v>0.89583333333333337</v>
      </c>
      <c r="I12" s="113">
        <f t="shared" si="9"/>
        <v>0.47916666666666669</v>
      </c>
      <c r="J12" s="498" t="s">
        <v>76</v>
      </c>
      <c r="K12" s="103">
        <v>0.58333333333333337</v>
      </c>
      <c r="L12" s="140">
        <v>0.92708333333333337</v>
      </c>
      <c r="M12" s="113">
        <f t="shared" si="8"/>
        <v>0.34375</v>
      </c>
      <c r="N12" s="494"/>
      <c r="O12" s="103">
        <v>0.64583333333333337</v>
      </c>
      <c r="P12" s="103">
        <v>0.89583333333333337</v>
      </c>
      <c r="Q12" s="157">
        <f t="shared" ref="Q12:Q17" si="10">P12-O12</f>
        <v>0.25</v>
      </c>
      <c r="R12" s="245"/>
      <c r="S12" s="522" t="s">
        <v>56</v>
      </c>
      <c r="T12" s="243"/>
      <c r="U12" s="103">
        <v>0.79166666666666663</v>
      </c>
      <c r="V12" s="103">
        <v>0.39583333333333331</v>
      </c>
      <c r="W12" s="104">
        <v>0.41666666666666669</v>
      </c>
      <c r="X12" s="558"/>
      <c r="Y12" s="438">
        <v>0.125</v>
      </c>
      <c r="Z12" s="439">
        <v>0.45833333333333331</v>
      </c>
      <c r="AA12" s="439">
        <v>0.125</v>
      </c>
      <c r="AB12" s="439" t="str">
        <f t="shared" ref="AB12:AB24" si="11">IF($J12=AB$3,$M12,IF($N12=AB$3,$Q12,IF($S12=AB$3,$W12,IF($T12=AB$3,$X12,""))))</f>
        <v/>
      </c>
      <c r="AC12" s="439">
        <v>0.125</v>
      </c>
      <c r="AD12" s="478"/>
      <c r="AE12" s="439">
        <v>0.45833333333333331</v>
      </c>
      <c r="AF12" s="439">
        <v>0.125</v>
      </c>
      <c r="AG12" s="439">
        <v>0.125</v>
      </c>
      <c r="AH12" s="478"/>
      <c r="AI12" s="439">
        <f t="shared" si="4"/>
        <v>0.25</v>
      </c>
      <c r="AJ12" s="1"/>
    </row>
    <row r="13" spans="1:36" ht="18" customHeight="1" x14ac:dyDescent="0.3">
      <c r="A13" s="60" t="s">
        <v>10</v>
      </c>
      <c r="B13" s="61">
        <v>11</v>
      </c>
      <c r="C13" s="183" t="s">
        <v>107</v>
      </c>
      <c r="D13" s="174"/>
      <c r="E13" s="229"/>
      <c r="F13" s="199" t="s">
        <v>76</v>
      </c>
      <c r="G13" s="103">
        <v>0.47916666666666669</v>
      </c>
      <c r="H13" s="103">
        <v>0.89583333333333337</v>
      </c>
      <c r="I13" s="113">
        <f t="shared" si="9"/>
        <v>0.41666666666666669</v>
      </c>
      <c r="J13" s="115" t="s">
        <v>71</v>
      </c>
      <c r="K13" s="105">
        <v>0.47916666666666669</v>
      </c>
      <c r="L13" s="141">
        <v>0.92708333333333337</v>
      </c>
      <c r="M13" s="113">
        <f t="shared" si="8"/>
        <v>0.44791666666666669</v>
      </c>
      <c r="N13" s="519" t="s">
        <v>37</v>
      </c>
      <c r="O13" s="103">
        <v>0.47916666666666669</v>
      </c>
      <c r="P13" s="103">
        <v>0.89583333333333337</v>
      </c>
      <c r="Q13" s="157">
        <f t="shared" si="10"/>
        <v>0.41666666666666669</v>
      </c>
      <c r="R13" s="245"/>
      <c r="S13" s="521" t="s">
        <v>78</v>
      </c>
      <c r="T13" s="243"/>
      <c r="U13" s="105">
        <v>0.875</v>
      </c>
      <c r="V13" s="105">
        <v>0.39583333333333331</v>
      </c>
      <c r="W13" s="106">
        <v>0.41666666666666669</v>
      </c>
      <c r="X13" s="558"/>
      <c r="Y13" s="438">
        <f t="shared" ref="Y13:AA24" si="12">IF($J13=Y$3,$M13,IF($N13=Y$3,$Q13,IF($S13=Y$3,$W13,IF($T13=Y$3,$X13,""))))</f>
        <v>0.44791666666666669</v>
      </c>
      <c r="Z13" s="439" t="str">
        <f t="shared" si="12"/>
        <v/>
      </c>
      <c r="AA13" s="439"/>
      <c r="AB13" s="439" t="str">
        <f t="shared" si="11"/>
        <v/>
      </c>
      <c r="AC13" s="439" t="str">
        <f t="shared" ref="AC13:AF24" si="13">IF($J13=AC$3,$M13,IF($N13=AC$3,$Q13,IF($S13=AC$3,$W13,IF($T13=AC$3,$X13,""))))</f>
        <v/>
      </c>
      <c r="AD13" s="478" t="str">
        <f t="shared" si="13"/>
        <v/>
      </c>
      <c r="AE13" s="439" t="str">
        <f t="shared" si="13"/>
        <v/>
      </c>
      <c r="AF13" s="439" t="str">
        <f t="shared" si="13"/>
        <v/>
      </c>
      <c r="AG13" s="480">
        <v>0.41666666666666669</v>
      </c>
      <c r="AH13" s="478"/>
      <c r="AI13" s="439">
        <f t="shared" si="4"/>
        <v>0</v>
      </c>
      <c r="AJ13" s="1"/>
    </row>
    <row r="14" spans="1:36" ht="18" customHeight="1" x14ac:dyDescent="0.3">
      <c r="A14" s="62" t="s">
        <v>11</v>
      </c>
      <c r="B14" s="63">
        <v>12</v>
      </c>
      <c r="C14" s="200" t="s">
        <v>41</v>
      </c>
      <c r="D14" s="174"/>
      <c r="E14" s="229"/>
      <c r="F14" s="199" t="s">
        <v>94</v>
      </c>
      <c r="G14" s="103">
        <v>0.58333333333333337</v>
      </c>
      <c r="H14" s="103">
        <v>0.89583333333333337</v>
      </c>
      <c r="I14" s="113">
        <f t="shared" si="9"/>
        <v>0.3125</v>
      </c>
      <c r="J14" s="518" t="s">
        <v>76</v>
      </c>
      <c r="K14" s="103">
        <v>0.58333333333333337</v>
      </c>
      <c r="L14" s="140">
        <v>0.92708333333333337</v>
      </c>
      <c r="M14" s="113">
        <f>L14-K14</f>
        <v>0.34375</v>
      </c>
      <c r="N14" s="114"/>
      <c r="O14" s="103">
        <v>0.64583333333333337</v>
      </c>
      <c r="P14" s="103">
        <v>0.89583333333333337</v>
      </c>
      <c r="Q14" s="157">
        <f t="shared" si="10"/>
        <v>0.25</v>
      </c>
      <c r="R14" s="245"/>
      <c r="S14" s="522" t="s">
        <v>56</v>
      </c>
      <c r="T14" s="243"/>
      <c r="U14" s="103">
        <v>0.875</v>
      </c>
      <c r="V14" s="103">
        <v>0.39583333333333331</v>
      </c>
      <c r="W14" s="104">
        <v>0.41666666666666669</v>
      </c>
      <c r="X14" s="558"/>
      <c r="Y14" s="438" t="str">
        <f t="shared" si="12"/>
        <v/>
      </c>
      <c r="Z14" s="439" t="str">
        <f t="shared" si="12"/>
        <v/>
      </c>
      <c r="AA14" s="439" t="str">
        <f t="shared" si="12"/>
        <v/>
      </c>
      <c r="AB14" s="439" t="str">
        <f t="shared" si="11"/>
        <v/>
      </c>
      <c r="AC14" s="439" t="str">
        <f t="shared" si="13"/>
        <v/>
      </c>
      <c r="AD14" s="478" t="str">
        <f t="shared" si="13"/>
        <v/>
      </c>
      <c r="AE14" s="439">
        <f t="shared" si="13"/>
        <v>0.34375</v>
      </c>
      <c r="AF14" s="439" t="str">
        <f t="shared" si="13"/>
        <v/>
      </c>
      <c r="AG14" s="439"/>
      <c r="AH14" s="478" t="str">
        <f t="shared" ref="AH14:AH25" si="14">IF($J14=AH$3,$M14,IF($N14=AH$3,$Q14,IF($S14=AH$3,$W14,IF($T14=AH$3,$X14,""))))</f>
        <v/>
      </c>
      <c r="AI14" s="439">
        <f t="shared" si="4"/>
        <v>0.25</v>
      </c>
      <c r="AJ14" s="1"/>
    </row>
    <row r="15" spans="1:36" ht="18" customHeight="1" thickBot="1" x14ac:dyDescent="0.35">
      <c r="A15" s="58" t="s">
        <v>12</v>
      </c>
      <c r="B15" s="59">
        <v>13</v>
      </c>
      <c r="C15" s="184"/>
      <c r="D15" s="176" t="s">
        <v>81</v>
      </c>
      <c r="E15" s="204"/>
      <c r="F15" s="177" t="s">
        <v>86</v>
      </c>
      <c r="G15" s="103">
        <v>0.58333333333333337</v>
      </c>
      <c r="H15" s="103">
        <v>0.89583333333333337</v>
      </c>
      <c r="I15" s="178">
        <f t="shared" si="9"/>
        <v>0.3125</v>
      </c>
      <c r="J15" s="107" t="s">
        <v>71</v>
      </c>
      <c r="K15" s="108">
        <v>0.58333333333333337</v>
      </c>
      <c r="L15" s="109">
        <v>0.83333333333333337</v>
      </c>
      <c r="M15" s="142">
        <f>L15-K15</f>
        <v>0.25</v>
      </c>
      <c r="N15" s="520" t="s">
        <v>76</v>
      </c>
      <c r="O15" s="165">
        <v>0.64583333333333337</v>
      </c>
      <c r="P15" s="165">
        <v>0.83333333333333337</v>
      </c>
      <c r="Q15" s="166">
        <f t="shared" si="10"/>
        <v>0.1875</v>
      </c>
      <c r="R15" s="246"/>
      <c r="S15" s="168" t="s">
        <v>77</v>
      </c>
      <c r="T15" s="243"/>
      <c r="U15" s="108">
        <v>0.79166666666666663</v>
      </c>
      <c r="V15" s="108">
        <v>0.45833333333333331</v>
      </c>
      <c r="W15" s="110">
        <v>0.47916666666666669</v>
      </c>
      <c r="X15" s="558"/>
      <c r="Y15" s="438">
        <f t="shared" si="12"/>
        <v>0.25</v>
      </c>
      <c r="Z15" s="439" t="str">
        <f t="shared" si="12"/>
        <v/>
      </c>
      <c r="AA15" s="439" t="str">
        <f t="shared" si="12"/>
        <v/>
      </c>
      <c r="AB15" s="439" t="str">
        <f t="shared" si="11"/>
        <v/>
      </c>
      <c r="AC15" s="439" t="str">
        <f t="shared" si="13"/>
        <v/>
      </c>
      <c r="AD15" s="478" t="str">
        <f t="shared" si="13"/>
        <v/>
      </c>
      <c r="AE15" s="439"/>
      <c r="AF15" s="439">
        <f t="shared" si="13"/>
        <v>0.47916666666666669</v>
      </c>
      <c r="AG15" s="439" t="str">
        <f>IF($J15=AG$3,$M15,IF($N15=AG$3,$Q15,IF($S15=AG$3,$W15,IF($T15=AG$3,$X15,""))))</f>
        <v/>
      </c>
      <c r="AH15" s="478" t="str">
        <f t="shared" si="14"/>
        <v/>
      </c>
      <c r="AI15" s="439">
        <f t="shared" si="4"/>
        <v>0</v>
      </c>
      <c r="AJ15" s="1"/>
    </row>
    <row r="16" spans="1:36" ht="18" customHeight="1" thickBot="1" x14ac:dyDescent="0.35">
      <c r="A16" s="447" t="s">
        <v>13</v>
      </c>
      <c r="B16" s="448">
        <v>14</v>
      </c>
      <c r="C16" s="449"/>
      <c r="D16" s="450" t="s">
        <v>81</v>
      </c>
      <c r="E16" s="451"/>
      <c r="F16" s="452" t="s">
        <v>94</v>
      </c>
      <c r="G16" s="453">
        <v>0.4375</v>
      </c>
      <c r="H16" s="453">
        <v>0.8125</v>
      </c>
      <c r="I16" s="454">
        <f t="shared" si="9"/>
        <v>0.375</v>
      </c>
      <c r="J16" s="455" t="s">
        <v>56</v>
      </c>
      <c r="K16" s="453">
        <v>0.4375</v>
      </c>
      <c r="L16" s="456">
        <v>0.83333333333333337</v>
      </c>
      <c r="M16" s="454">
        <f t="shared" ref="M16:M17" si="15">L16-K16</f>
        <v>0.39583333333333337</v>
      </c>
      <c r="N16" s="455"/>
      <c r="O16" s="453"/>
      <c r="P16" s="456"/>
      <c r="Q16" s="454">
        <f t="shared" si="10"/>
        <v>0</v>
      </c>
      <c r="R16" s="457"/>
      <c r="S16" s="458" t="s">
        <v>71</v>
      </c>
      <c r="T16" s="559" t="s">
        <v>30</v>
      </c>
      <c r="U16" s="459">
        <v>0.79166666666666663</v>
      </c>
      <c r="V16" s="459">
        <v>0.45833333333333331</v>
      </c>
      <c r="W16" s="460">
        <v>0.47916666666666669</v>
      </c>
      <c r="X16" s="558"/>
      <c r="Y16" s="445">
        <f t="shared" si="12"/>
        <v>0.47916666666666669</v>
      </c>
      <c r="Z16" s="446" t="str">
        <f t="shared" si="12"/>
        <v/>
      </c>
      <c r="AA16" s="446" t="str">
        <f t="shared" si="12"/>
        <v/>
      </c>
      <c r="AB16" s="446" t="str">
        <f t="shared" si="11"/>
        <v/>
      </c>
      <c r="AC16" s="446" t="str">
        <f t="shared" si="13"/>
        <v/>
      </c>
      <c r="AD16" s="479" t="str">
        <f t="shared" si="13"/>
        <v/>
      </c>
      <c r="AE16" s="446" t="str">
        <f t="shared" si="13"/>
        <v/>
      </c>
      <c r="AF16" s="446" t="str">
        <f t="shared" si="13"/>
        <v/>
      </c>
      <c r="AG16" s="446">
        <f>IF($J16=AG$3,$M16,IF($N16=AG$3,$Q16,IF($S16=AG$3,$W16,IF($T16=AG$3,$X16,""))))</f>
        <v>0.39583333333333337</v>
      </c>
      <c r="AH16" s="479" t="str">
        <f t="shared" si="14"/>
        <v/>
      </c>
      <c r="AI16" s="446">
        <f t="shared" si="4"/>
        <v>0</v>
      </c>
      <c r="AJ16" s="1"/>
    </row>
    <row r="17" spans="1:36" ht="18" customHeight="1" thickBot="1" x14ac:dyDescent="0.35">
      <c r="A17" s="461" t="s">
        <v>14</v>
      </c>
      <c r="B17" s="462">
        <v>15</v>
      </c>
      <c r="C17" s="463"/>
      <c r="D17" s="464" t="s">
        <v>81</v>
      </c>
      <c r="E17" s="465"/>
      <c r="F17" s="466" t="s">
        <v>76</v>
      </c>
      <c r="G17" s="467">
        <v>0.4375</v>
      </c>
      <c r="H17" s="467">
        <v>0.8125</v>
      </c>
      <c r="I17" s="468">
        <f t="shared" si="9"/>
        <v>0.375</v>
      </c>
      <c r="J17" s="469" t="s">
        <v>37</v>
      </c>
      <c r="K17" s="470">
        <v>0.4375</v>
      </c>
      <c r="L17" s="471">
        <v>0.83333333333333337</v>
      </c>
      <c r="M17" s="472">
        <f t="shared" si="15"/>
        <v>0.39583333333333337</v>
      </c>
      <c r="N17" s="469"/>
      <c r="O17" s="470"/>
      <c r="P17" s="471"/>
      <c r="Q17" s="472">
        <f t="shared" si="10"/>
        <v>0</v>
      </c>
      <c r="R17" s="473"/>
      <c r="S17" s="486"/>
      <c r="T17" s="560"/>
      <c r="U17" s="474">
        <v>0.79166666666666663</v>
      </c>
      <c r="V17" s="474">
        <v>0.39583333333333331</v>
      </c>
      <c r="W17" s="475">
        <v>0.5</v>
      </c>
      <c r="X17" s="558"/>
      <c r="Y17" s="445" t="str">
        <f t="shared" si="12"/>
        <v/>
      </c>
      <c r="Z17" s="446" t="str">
        <f t="shared" si="12"/>
        <v/>
      </c>
      <c r="AA17" s="446">
        <f t="shared" si="12"/>
        <v>0.39583333333333337</v>
      </c>
      <c r="AB17" s="446" t="str">
        <f t="shared" si="11"/>
        <v/>
      </c>
      <c r="AC17" s="446" t="str">
        <f t="shared" si="13"/>
        <v/>
      </c>
      <c r="AD17" s="479" t="str">
        <f t="shared" si="13"/>
        <v/>
      </c>
      <c r="AE17" s="446" t="str">
        <f t="shared" si="13"/>
        <v/>
      </c>
      <c r="AF17" s="446" t="str">
        <f t="shared" si="13"/>
        <v/>
      </c>
      <c r="AG17" s="446" t="str">
        <f>IF($J17=AG$3,$M17,IF($N17=AG$3,$Q17,IF($S17=AG$3,$W17,IF($T17=AG$3,$X17,""))))</f>
        <v/>
      </c>
      <c r="AH17" s="479" t="str">
        <f t="shared" si="14"/>
        <v/>
      </c>
      <c r="AI17" s="446">
        <f t="shared" si="4"/>
        <v>0</v>
      </c>
      <c r="AJ17" s="1"/>
    </row>
    <row r="18" spans="1:36" ht="18" customHeight="1" thickBot="1" x14ac:dyDescent="0.35">
      <c r="A18" s="301" t="s">
        <v>15</v>
      </c>
      <c r="B18" s="302">
        <v>16</v>
      </c>
      <c r="C18" s="303" t="s">
        <v>38</v>
      </c>
      <c r="D18" s="304" t="s">
        <v>81</v>
      </c>
      <c r="E18" s="305"/>
      <c r="F18" s="306" t="s">
        <v>94</v>
      </c>
      <c r="G18" s="307">
        <v>0.4375</v>
      </c>
      <c r="H18" s="307">
        <v>0.8125</v>
      </c>
      <c r="I18" s="308">
        <f t="shared" ref="I18:I23" si="16">H18-G18</f>
        <v>0.375</v>
      </c>
      <c r="J18" s="309" t="s">
        <v>48</v>
      </c>
      <c r="K18" s="310">
        <v>0.4375</v>
      </c>
      <c r="L18" s="311">
        <v>0.8125</v>
      </c>
      <c r="M18" s="312">
        <f>L18-K18</f>
        <v>0.375</v>
      </c>
      <c r="N18" s="311" t="s">
        <v>75</v>
      </c>
      <c r="O18" s="310">
        <v>0.77083333333333337</v>
      </c>
      <c r="P18" s="311">
        <v>0.91666666666666663</v>
      </c>
      <c r="Q18" s="313">
        <f>P18-O18</f>
        <v>0.14583333333333326</v>
      </c>
      <c r="R18" s="314"/>
      <c r="S18" s="510" t="s">
        <v>78</v>
      </c>
      <c r="T18" s="315"/>
      <c r="U18" s="311">
        <v>0.79166666666666663</v>
      </c>
      <c r="V18" s="311">
        <v>0.45833333333333331</v>
      </c>
      <c r="W18" s="160">
        <v>0.41666666666666669</v>
      </c>
      <c r="X18" s="558"/>
      <c r="Y18" s="438" t="str">
        <f t="shared" si="12"/>
        <v/>
      </c>
      <c r="Z18" s="439" t="str">
        <f t="shared" si="12"/>
        <v/>
      </c>
      <c r="AA18" s="439" t="str">
        <f t="shared" si="12"/>
        <v/>
      </c>
      <c r="AB18" s="439" t="str">
        <f t="shared" si="11"/>
        <v/>
      </c>
      <c r="AC18" s="439" t="str">
        <f t="shared" si="13"/>
        <v/>
      </c>
      <c r="AD18" s="439">
        <f t="shared" si="13"/>
        <v>0.14583333333333326</v>
      </c>
      <c r="AE18" s="439" t="str">
        <f t="shared" si="13"/>
        <v/>
      </c>
      <c r="AF18" s="439" t="str">
        <f t="shared" si="13"/>
        <v/>
      </c>
      <c r="AG18" s="439" t="str">
        <f>IF($J18=AG$3,$M18,IF($N18=AG$3,$Q18,IF($S18=AG$3,$W18,IF($T18=AG$3,$X18,""))))</f>
        <v/>
      </c>
      <c r="AH18" s="439">
        <f t="shared" si="14"/>
        <v>0.41666666666666669</v>
      </c>
      <c r="AI18" s="439">
        <f t="shared" si="4"/>
        <v>0</v>
      </c>
      <c r="AJ18" s="1"/>
    </row>
    <row r="19" spans="1:36" ht="18" customHeight="1" thickBot="1" x14ac:dyDescent="0.35">
      <c r="A19" s="317" t="s">
        <v>9</v>
      </c>
      <c r="B19" s="318">
        <v>17</v>
      </c>
      <c r="C19" s="319"/>
      <c r="D19" s="320"/>
      <c r="E19" s="321"/>
      <c r="F19" s="322" t="s">
        <v>76</v>
      </c>
      <c r="G19" s="307">
        <v>0.4375</v>
      </c>
      <c r="H19" s="307">
        <v>0.8125</v>
      </c>
      <c r="I19" s="323">
        <f t="shared" si="16"/>
        <v>0.375</v>
      </c>
      <c r="J19" s="324" t="s">
        <v>71</v>
      </c>
      <c r="K19" s="325">
        <v>0.4375</v>
      </c>
      <c r="L19" s="307">
        <v>0.8125</v>
      </c>
      <c r="M19" s="326">
        <f>L19-K19</f>
        <v>0.375</v>
      </c>
      <c r="N19" s="327" t="s">
        <v>74</v>
      </c>
      <c r="O19" s="310">
        <v>0.77083333333333337</v>
      </c>
      <c r="P19" s="311">
        <v>0.91666666666666663</v>
      </c>
      <c r="Q19" s="323">
        <f>P19-O19</f>
        <v>0.14583333333333326</v>
      </c>
      <c r="R19" s="328"/>
      <c r="S19" s="511" t="s">
        <v>74</v>
      </c>
      <c r="T19" s="330"/>
      <c r="U19" s="311">
        <v>0.79166666666666663</v>
      </c>
      <c r="V19" s="311">
        <v>0.45833333333333331</v>
      </c>
      <c r="W19" s="104">
        <v>0.41666666666666669</v>
      </c>
      <c r="X19" s="558"/>
      <c r="Y19" s="438">
        <f t="shared" si="12"/>
        <v>0.375</v>
      </c>
      <c r="Z19" s="439" t="str">
        <f t="shared" si="12"/>
        <v/>
      </c>
      <c r="AA19" s="439" t="str">
        <f t="shared" si="12"/>
        <v/>
      </c>
      <c r="AB19" s="439" t="str">
        <f t="shared" si="11"/>
        <v/>
      </c>
      <c r="AC19" s="439">
        <f t="shared" si="13"/>
        <v>0.14583333333333326</v>
      </c>
      <c r="AD19" s="439" t="str">
        <f t="shared" si="13"/>
        <v/>
      </c>
      <c r="AE19" s="439" t="str">
        <f t="shared" si="13"/>
        <v/>
      </c>
      <c r="AF19" s="439" t="str">
        <f t="shared" si="13"/>
        <v/>
      </c>
      <c r="AG19" s="439">
        <v>0.125</v>
      </c>
      <c r="AH19" s="439" t="str">
        <f t="shared" si="14"/>
        <v/>
      </c>
      <c r="AI19" s="439">
        <f t="shared" si="4"/>
        <v>0</v>
      </c>
      <c r="AJ19" s="1"/>
    </row>
    <row r="20" spans="1:36" ht="18" customHeight="1" thickBot="1" x14ac:dyDescent="0.35">
      <c r="A20" s="317" t="s">
        <v>10</v>
      </c>
      <c r="B20" s="318">
        <v>18</v>
      </c>
      <c r="C20" s="319" t="s">
        <v>108</v>
      </c>
      <c r="D20" s="320"/>
      <c r="E20" s="321"/>
      <c r="F20" s="331" t="s">
        <v>86</v>
      </c>
      <c r="G20" s="307">
        <v>0.4375</v>
      </c>
      <c r="H20" s="307">
        <v>0.8125</v>
      </c>
      <c r="I20" s="323">
        <f t="shared" si="16"/>
        <v>0.375</v>
      </c>
      <c r="J20" s="496" t="s">
        <v>78</v>
      </c>
      <c r="K20" s="325">
        <v>0.4375</v>
      </c>
      <c r="L20" s="307">
        <v>0.8125</v>
      </c>
      <c r="M20" s="326">
        <f>L20-K20</f>
        <v>0.375</v>
      </c>
      <c r="N20" s="332" t="s">
        <v>71</v>
      </c>
      <c r="O20" s="310">
        <v>0.77083333333333337</v>
      </c>
      <c r="P20" s="311">
        <v>0.91666666666666663</v>
      </c>
      <c r="Q20" s="323">
        <f>P20-O20</f>
        <v>0.14583333333333326</v>
      </c>
      <c r="R20" s="328"/>
      <c r="S20" s="512" t="s">
        <v>71</v>
      </c>
      <c r="T20" s="330"/>
      <c r="U20" s="311">
        <v>0.79166666666666663</v>
      </c>
      <c r="V20" s="311">
        <v>0.45833333333333331</v>
      </c>
      <c r="W20" s="106">
        <v>0.41666666666666669</v>
      </c>
      <c r="X20" s="558"/>
      <c r="Y20" s="438">
        <f t="shared" si="12"/>
        <v>0.14583333333333326</v>
      </c>
      <c r="Z20" s="439" t="str">
        <f t="shared" si="12"/>
        <v/>
      </c>
      <c r="AA20" s="439" t="str">
        <f t="shared" si="12"/>
        <v/>
      </c>
      <c r="AB20" s="439" t="str">
        <f t="shared" si="11"/>
        <v/>
      </c>
      <c r="AC20" s="439" t="str">
        <f t="shared" si="13"/>
        <v/>
      </c>
      <c r="AD20" s="439" t="str">
        <f t="shared" si="13"/>
        <v/>
      </c>
      <c r="AE20" s="439" t="str">
        <f t="shared" si="13"/>
        <v/>
      </c>
      <c r="AF20" s="439" t="str">
        <f t="shared" si="13"/>
        <v/>
      </c>
      <c r="AG20" s="439" t="str">
        <f>IF($J20=AG$3,$M20,IF($N20=AG$3,$Q20,IF($S20=AG$3,$W20,IF($T20=AG$3,$X20,""))))</f>
        <v/>
      </c>
      <c r="AH20" s="439">
        <f t="shared" si="14"/>
        <v>0.375</v>
      </c>
      <c r="AI20" s="439">
        <f t="shared" si="4"/>
        <v>0</v>
      </c>
      <c r="AJ20" s="1"/>
    </row>
    <row r="21" spans="1:36" ht="18" customHeight="1" thickBot="1" x14ac:dyDescent="0.35">
      <c r="A21" s="335" t="s">
        <v>11</v>
      </c>
      <c r="B21" s="336">
        <v>19</v>
      </c>
      <c r="C21" s="337" t="s">
        <v>108</v>
      </c>
      <c r="D21" s="320"/>
      <c r="E21" s="321"/>
      <c r="F21" s="331" t="s">
        <v>94</v>
      </c>
      <c r="G21" s="307">
        <v>0.4375</v>
      </c>
      <c r="H21" s="307">
        <v>0.8125</v>
      </c>
      <c r="I21" s="323">
        <f t="shared" si="16"/>
        <v>0.375</v>
      </c>
      <c r="J21" s="338" t="s">
        <v>75</v>
      </c>
      <c r="K21" s="325">
        <v>0.4375</v>
      </c>
      <c r="L21" s="307">
        <v>0.8125</v>
      </c>
      <c r="M21" s="326">
        <f>L21-K21</f>
        <v>0.375</v>
      </c>
      <c r="N21" s="327" t="s">
        <v>76</v>
      </c>
      <c r="O21" s="310">
        <v>0.77083333333333337</v>
      </c>
      <c r="P21" s="311">
        <v>0.91666666666666663</v>
      </c>
      <c r="Q21" s="323">
        <f>P21-O21</f>
        <v>0.14583333333333326</v>
      </c>
      <c r="R21" s="328"/>
      <c r="S21" s="513" t="s">
        <v>76</v>
      </c>
      <c r="T21" s="330"/>
      <c r="U21" s="311">
        <v>0.79166666666666663</v>
      </c>
      <c r="V21" s="311">
        <v>0.45833333333333331</v>
      </c>
      <c r="W21" s="104">
        <v>0.41666666666666669</v>
      </c>
      <c r="X21" s="558"/>
      <c r="Y21" s="438" t="str">
        <f t="shared" si="12"/>
        <v/>
      </c>
      <c r="Z21" s="439" t="str">
        <f t="shared" si="12"/>
        <v/>
      </c>
      <c r="AA21" s="439" t="str">
        <f t="shared" si="12"/>
        <v/>
      </c>
      <c r="AB21" s="439" t="str">
        <f t="shared" si="11"/>
        <v/>
      </c>
      <c r="AC21" s="439" t="str">
        <f t="shared" si="13"/>
        <v/>
      </c>
      <c r="AD21" s="439">
        <f t="shared" si="13"/>
        <v>0.375</v>
      </c>
      <c r="AE21" s="439">
        <f t="shared" si="13"/>
        <v>0.14583333333333326</v>
      </c>
      <c r="AF21" s="439" t="str">
        <f t="shared" si="13"/>
        <v/>
      </c>
      <c r="AG21" s="480">
        <v>0.41666666666666669</v>
      </c>
      <c r="AH21" s="439" t="str">
        <f t="shared" si="14"/>
        <v/>
      </c>
      <c r="AI21" s="439">
        <f t="shared" si="4"/>
        <v>0</v>
      </c>
      <c r="AJ21" s="1"/>
    </row>
    <row r="22" spans="1:36" ht="18" customHeight="1" thickBot="1" x14ac:dyDescent="0.35">
      <c r="A22" s="301" t="s">
        <v>12</v>
      </c>
      <c r="B22" s="302">
        <v>20</v>
      </c>
      <c r="C22" s="340"/>
      <c r="D22" s="341"/>
      <c r="E22" s="342"/>
      <c r="F22" s="343" t="s">
        <v>76</v>
      </c>
      <c r="G22" s="307">
        <v>0.4375</v>
      </c>
      <c r="H22" s="307">
        <v>0.8125</v>
      </c>
      <c r="I22" s="344">
        <f t="shared" si="16"/>
        <v>0.375</v>
      </c>
      <c r="J22" s="345" t="s">
        <v>71</v>
      </c>
      <c r="K22" s="346">
        <v>0.4375</v>
      </c>
      <c r="L22" s="347">
        <v>0.8125</v>
      </c>
      <c r="M22" s="348">
        <f>L22-K22</f>
        <v>0.375</v>
      </c>
      <c r="N22" s="477"/>
      <c r="O22" s="310"/>
      <c r="P22" s="311"/>
      <c r="Q22" s="344">
        <f>P22-O22</f>
        <v>0</v>
      </c>
      <c r="R22" s="350"/>
      <c r="S22" s="333" t="s">
        <v>56</v>
      </c>
      <c r="T22" s="351"/>
      <c r="U22" s="311">
        <v>0.79166666666666663</v>
      </c>
      <c r="V22" s="311">
        <v>0.45833333333333331</v>
      </c>
      <c r="W22" s="110">
        <v>0.47916666666666669</v>
      </c>
      <c r="X22" s="558"/>
      <c r="Y22" s="438">
        <f t="shared" si="12"/>
        <v>0.375</v>
      </c>
      <c r="Z22" s="439" t="str">
        <f>IF($J22=Z$3,$M22,IF($N22=Z$3,$Q22,IF($S22=Z$3,$W22,IF($T22=Z$3,$X22,""))))</f>
        <v/>
      </c>
      <c r="AA22" s="439" t="str">
        <f>IF($J22=AA$3,$M22,IF($N22=AA$3,$Q22,IF($S22=AA$3,$W22,IF($T22=AA$3,$X22,""))))</f>
        <v/>
      </c>
      <c r="AB22" s="439" t="str">
        <f t="shared" si="11"/>
        <v/>
      </c>
      <c r="AC22" s="439" t="str">
        <f t="shared" si="13"/>
        <v/>
      </c>
      <c r="AD22" s="478" t="str">
        <f t="shared" si="13"/>
        <v/>
      </c>
      <c r="AE22" s="439" t="str">
        <f t="shared" si="13"/>
        <v/>
      </c>
      <c r="AF22" s="439" t="str">
        <f t="shared" si="13"/>
        <v/>
      </c>
      <c r="AG22" s="439">
        <f>IF($J22=AG$3,$M22,IF($N22=AG$3,$Q22,IF($S22=AG$3,$W22,IF($T22=AG$3,$X22,""))))</f>
        <v>0.47916666666666669</v>
      </c>
      <c r="AH22" s="439" t="str">
        <f t="shared" si="14"/>
        <v/>
      </c>
      <c r="AI22" s="439">
        <f t="shared" si="4"/>
        <v>0</v>
      </c>
      <c r="AJ22" s="1"/>
    </row>
    <row r="23" spans="1:36" ht="18" customHeight="1" thickBot="1" x14ac:dyDescent="0.35">
      <c r="A23" s="447" t="s">
        <v>13</v>
      </c>
      <c r="B23" s="448">
        <v>21</v>
      </c>
      <c r="C23" s="449"/>
      <c r="D23" s="450"/>
      <c r="E23" s="451"/>
      <c r="F23" s="452" t="s">
        <v>86</v>
      </c>
      <c r="G23" s="453">
        <v>0.4375</v>
      </c>
      <c r="H23" s="453">
        <v>0.8125</v>
      </c>
      <c r="I23" s="454">
        <f t="shared" si="16"/>
        <v>0.375</v>
      </c>
      <c r="J23" s="455" t="s">
        <v>77</v>
      </c>
      <c r="K23" s="453">
        <v>0.4375</v>
      </c>
      <c r="L23" s="456">
        <v>0.83333333333333337</v>
      </c>
      <c r="M23" s="454">
        <f t="shared" ref="M23:M27" si="17">L23-K23</f>
        <v>0.39583333333333337</v>
      </c>
      <c r="N23" s="455"/>
      <c r="O23" s="453"/>
      <c r="P23" s="456"/>
      <c r="Q23" s="454">
        <f t="shared" ref="Q23:Q24" si="18">P23-O23</f>
        <v>0</v>
      </c>
      <c r="R23" s="457"/>
      <c r="S23" s="458" t="s">
        <v>74</v>
      </c>
      <c r="T23" s="559" t="s">
        <v>75</v>
      </c>
      <c r="U23" s="459">
        <v>0.79166666666666663</v>
      </c>
      <c r="V23" s="459">
        <v>0.45833333333333331</v>
      </c>
      <c r="W23" s="460">
        <v>0.47916666666666669</v>
      </c>
      <c r="X23" s="558"/>
      <c r="Y23" s="445" t="str">
        <f t="shared" si="12"/>
        <v/>
      </c>
      <c r="Z23" s="446" t="str">
        <f t="shared" si="12"/>
        <v/>
      </c>
      <c r="AA23" s="446" t="str">
        <f t="shared" si="12"/>
        <v/>
      </c>
      <c r="AB23" s="446" t="str">
        <f t="shared" si="11"/>
        <v/>
      </c>
      <c r="AC23" s="446">
        <f t="shared" si="13"/>
        <v>0.47916666666666669</v>
      </c>
      <c r="AD23" s="479">
        <f t="shared" si="13"/>
        <v>0</v>
      </c>
      <c r="AE23" s="446" t="str">
        <f t="shared" si="13"/>
        <v/>
      </c>
      <c r="AF23" s="446">
        <f t="shared" si="13"/>
        <v>0.39583333333333337</v>
      </c>
      <c r="AG23" s="446" t="str">
        <f>IF($J23=AG$3,$M23,IF($N23=AG$3,$Q23,IF($S23=AG$3,$W23,IF($T23=AG$3,$X23,""))))</f>
        <v/>
      </c>
      <c r="AH23" s="446" t="str">
        <f t="shared" si="14"/>
        <v/>
      </c>
      <c r="AI23" s="446">
        <f t="shared" si="4"/>
        <v>0</v>
      </c>
      <c r="AJ23" s="1"/>
    </row>
    <row r="24" spans="1:36" ht="18" customHeight="1" thickBot="1" x14ac:dyDescent="0.35">
      <c r="A24" s="461" t="s">
        <v>14</v>
      </c>
      <c r="B24" s="462">
        <v>22</v>
      </c>
      <c r="C24" s="463"/>
      <c r="D24" s="464"/>
      <c r="E24" s="465"/>
      <c r="F24" s="466"/>
      <c r="G24" s="467"/>
      <c r="H24" s="467"/>
      <c r="I24" s="468">
        <v>0.33333333333333331</v>
      </c>
      <c r="J24" s="469" t="s">
        <v>56</v>
      </c>
      <c r="K24" s="470">
        <v>0.4375</v>
      </c>
      <c r="L24" s="471">
        <v>0.83333333333333337</v>
      </c>
      <c r="M24" s="472">
        <f t="shared" si="17"/>
        <v>0.39583333333333337</v>
      </c>
      <c r="N24" s="469"/>
      <c r="O24" s="470"/>
      <c r="P24" s="471"/>
      <c r="Q24" s="472">
        <f t="shared" si="18"/>
        <v>0</v>
      </c>
      <c r="R24" s="473"/>
      <c r="S24" s="486"/>
      <c r="T24" s="560"/>
      <c r="U24" s="474">
        <v>0.79166666666666663</v>
      </c>
      <c r="V24" s="474">
        <v>0.39583333333333331</v>
      </c>
      <c r="W24" s="475">
        <v>0.5</v>
      </c>
      <c r="X24" s="558"/>
      <c r="Y24" s="445" t="str">
        <f t="shared" si="12"/>
        <v/>
      </c>
      <c r="Z24" s="446" t="str">
        <f t="shared" si="12"/>
        <v/>
      </c>
      <c r="AA24" s="446" t="str">
        <f t="shared" si="12"/>
        <v/>
      </c>
      <c r="AB24" s="446" t="str">
        <f t="shared" si="11"/>
        <v/>
      </c>
      <c r="AC24" s="446" t="str">
        <f t="shared" si="13"/>
        <v/>
      </c>
      <c r="AD24" s="479" t="str">
        <f t="shared" si="13"/>
        <v/>
      </c>
      <c r="AE24" s="446" t="str">
        <f t="shared" si="13"/>
        <v/>
      </c>
      <c r="AF24" s="446" t="str">
        <f t="shared" si="13"/>
        <v/>
      </c>
      <c r="AG24" s="446">
        <f>IF($J24=AG$3,$M24,IF($N24=AG$3,$Q24,IF($S24=AG$3,$W24,IF($T24=AG$3,$X24,""))))</f>
        <v>0.39583333333333337</v>
      </c>
      <c r="AH24" s="446" t="str">
        <f t="shared" si="14"/>
        <v/>
      </c>
      <c r="AI24" s="446">
        <f t="shared" si="4"/>
        <v>0</v>
      </c>
      <c r="AJ24" s="1"/>
    </row>
    <row r="25" spans="1:36" ht="18" customHeight="1" x14ac:dyDescent="0.3">
      <c r="A25" s="169" t="s">
        <v>15</v>
      </c>
      <c r="B25" s="170">
        <v>23</v>
      </c>
      <c r="C25" s="182" t="s">
        <v>57</v>
      </c>
      <c r="D25" s="171" t="s">
        <v>73</v>
      </c>
      <c r="E25" s="476" t="s">
        <v>95</v>
      </c>
      <c r="F25" s="172" t="s">
        <v>86</v>
      </c>
      <c r="G25" s="153">
        <v>0.58333333333333337</v>
      </c>
      <c r="H25" s="153">
        <v>0.89583333333333337</v>
      </c>
      <c r="I25" s="173"/>
      <c r="J25" s="152" t="s">
        <v>48</v>
      </c>
      <c r="K25" s="153">
        <v>0.58333333333333337</v>
      </c>
      <c r="L25" s="154">
        <v>0.89583333333333337</v>
      </c>
      <c r="M25" s="155">
        <f t="shared" si="17"/>
        <v>0.3125</v>
      </c>
      <c r="N25" s="156" t="s">
        <v>71</v>
      </c>
      <c r="O25" s="153">
        <v>0.64583333333333337</v>
      </c>
      <c r="P25" s="153">
        <v>0.89583333333333337</v>
      </c>
      <c r="Q25" s="157">
        <f>P25-O25</f>
        <v>0.25</v>
      </c>
      <c r="R25" s="244"/>
      <c r="S25" s="159" t="s">
        <v>78</v>
      </c>
      <c r="T25" s="242"/>
      <c r="U25" s="153">
        <v>0.875</v>
      </c>
      <c r="V25" s="153">
        <v>0.39583333333333331</v>
      </c>
      <c r="W25" s="160">
        <v>0.41666666666666669</v>
      </c>
      <c r="X25" s="558"/>
      <c r="Y25" s="438">
        <f>IF($J25=Y$3,$M25,IF($N25=Y$3,$Q25,IF($S25=Y$3,$W25,IF($T25=Y$3,$X25,""))))</f>
        <v>0.25</v>
      </c>
      <c r="Z25" s="439">
        <v>0.125</v>
      </c>
      <c r="AA25" s="439">
        <v>0.16666666666666699</v>
      </c>
      <c r="AB25" s="480"/>
      <c r="AC25" s="439">
        <v>0.22916666666666666</v>
      </c>
      <c r="AD25" s="478" t="str">
        <f>IF($J25=AD$3,$M25,IF($N25=AD$3,$Q25,IF($S25=AD$3,$W25,IF($T25=AD$3,$X25,""))))</f>
        <v/>
      </c>
      <c r="AE25" s="439" t="str">
        <f>IF($J25=AE$3,$M25,IF($N25=AE$3,$Q25,IF($S25=AE$3,$W25,IF($T25=AE$3,$X25,""))))</f>
        <v/>
      </c>
      <c r="AF25" s="439" t="str">
        <f>IF($J25=AF$3,$M25,IF($N25=AF$3,$Q25,IF($S25=AF$3,$W25,IF($T25=AF$3,$X25,""))))</f>
        <v/>
      </c>
      <c r="AG25" s="439" t="str">
        <f>IF($J25=AG$3,$M25,IF($N25=AG$3,$Q25,IF($S25=AG$3,$W25,IF($T25=AG$3,$X25,""))))</f>
        <v/>
      </c>
      <c r="AH25" s="439">
        <f t="shared" si="14"/>
        <v>0.41666666666666669</v>
      </c>
      <c r="AI25" s="439">
        <f t="shared" si="4"/>
        <v>0</v>
      </c>
      <c r="AJ25" s="1"/>
    </row>
    <row r="26" spans="1:36" ht="18" customHeight="1" x14ac:dyDescent="0.3">
      <c r="A26" s="62" t="s">
        <v>9</v>
      </c>
      <c r="B26" s="63">
        <v>24</v>
      </c>
      <c r="C26" s="183" t="s">
        <v>82</v>
      </c>
      <c r="D26" s="174" t="s">
        <v>73</v>
      </c>
      <c r="E26" s="229"/>
      <c r="F26" s="175" t="s">
        <v>76</v>
      </c>
      <c r="G26" s="103">
        <v>0.4375</v>
      </c>
      <c r="H26" s="103">
        <v>0.89583333333333337</v>
      </c>
      <c r="I26" s="113">
        <f t="shared" ref="I26:I31" si="19">H26-G26</f>
        <v>0.45833333333333337</v>
      </c>
      <c r="J26" s="115" t="s">
        <v>76</v>
      </c>
      <c r="K26" s="103">
        <v>0.58333333333333337</v>
      </c>
      <c r="L26" s="140">
        <v>0.89583333333333337</v>
      </c>
      <c r="M26" s="113">
        <f t="shared" si="17"/>
        <v>0.3125</v>
      </c>
      <c r="N26" s="114" t="s">
        <v>37</v>
      </c>
      <c r="O26" s="103">
        <v>0.64583333333333337</v>
      </c>
      <c r="P26" s="103">
        <v>0.89583333333333337</v>
      </c>
      <c r="Q26" s="157">
        <f t="shared" ref="Q26:Q31" si="20">P26-O26</f>
        <v>0.25</v>
      </c>
      <c r="R26" s="245"/>
      <c r="S26" s="162" t="s">
        <v>56</v>
      </c>
      <c r="T26" s="243"/>
      <c r="U26" s="103">
        <v>0.875</v>
      </c>
      <c r="V26" s="103">
        <v>0.39583333333333331</v>
      </c>
      <c r="W26" s="104">
        <v>0.41666666666666669</v>
      </c>
      <c r="X26" s="558"/>
      <c r="Y26" s="438">
        <v>0.125</v>
      </c>
      <c r="Z26" s="439">
        <v>0.125</v>
      </c>
      <c r="AA26" s="439">
        <f t="shared" ref="AA26:AB28" si="21">IF($J26=AA$3,$M26,IF($N26=AA$3,$Q26,IF($S26=AA$3,$W26,IF($T26=AA$3,$X26,""))))</f>
        <v>0.25</v>
      </c>
      <c r="AB26" s="480" t="str">
        <f t="shared" si="21"/>
        <v/>
      </c>
      <c r="AC26" s="439">
        <v>0.125</v>
      </c>
      <c r="AD26" s="439">
        <v>0.125</v>
      </c>
      <c r="AE26" s="439">
        <v>0.45833333333333331</v>
      </c>
      <c r="AF26" s="439">
        <v>0.125</v>
      </c>
      <c r="AG26" s="439">
        <f>IF($J26=AG$3,$M26,IF($N26=AG$3,$Q26,IF($S26=AG$3,$W26,IF($T26=AG$3,$X26,""))))</f>
        <v>0.41666666666666669</v>
      </c>
      <c r="AH26" s="439">
        <v>0.125</v>
      </c>
      <c r="AI26" s="439">
        <f t="shared" si="4"/>
        <v>0</v>
      </c>
      <c r="AJ26" s="1"/>
    </row>
    <row r="27" spans="1:36" ht="18" customHeight="1" x14ac:dyDescent="0.3">
      <c r="A27" s="60" t="s">
        <v>10</v>
      </c>
      <c r="B27" s="61">
        <v>25</v>
      </c>
      <c r="C27" s="183" t="s">
        <v>85</v>
      </c>
      <c r="D27" s="174" t="s">
        <v>73</v>
      </c>
      <c r="E27" s="229"/>
      <c r="F27" s="199"/>
      <c r="G27" s="103"/>
      <c r="H27" s="103"/>
      <c r="I27" s="113">
        <f t="shared" si="19"/>
        <v>0</v>
      </c>
      <c r="J27" s="115" t="s">
        <v>71</v>
      </c>
      <c r="K27" s="105">
        <v>0.47916666666666669</v>
      </c>
      <c r="L27" s="141">
        <v>0.89583333333333337</v>
      </c>
      <c r="M27" s="113">
        <f t="shared" si="17"/>
        <v>0.41666666666666669</v>
      </c>
      <c r="N27" s="115" t="s">
        <v>78</v>
      </c>
      <c r="O27" s="103">
        <v>0.47916666666666669</v>
      </c>
      <c r="P27" s="103">
        <v>0.89583333333333337</v>
      </c>
      <c r="Q27" s="157">
        <f t="shared" si="20"/>
        <v>0.41666666666666669</v>
      </c>
      <c r="R27" s="245"/>
      <c r="S27" s="163" t="s">
        <v>74</v>
      </c>
      <c r="T27" s="243"/>
      <c r="U27" s="105">
        <v>0.875</v>
      </c>
      <c r="V27" s="105">
        <v>0.39583333333333331</v>
      </c>
      <c r="W27" s="106">
        <v>0.41666666666666669</v>
      </c>
      <c r="X27" s="558"/>
      <c r="Y27" s="438">
        <f t="shared" ref="Y27:Z31" si="22">IF($J27=Y$3,$M27,IF($N27=Y$3,$Q27,IF($S27=Y$3,$W27,IF($T27=Y$3,$X27,""))))</f>
        <v>0.41666666666666669</v>
      </c>
      <c r="Z27" s="439" t="str">
        <f t="shared" si="22"/>
        <v/>
      </c>
      <c r="AA27" s="439" t="str">
        <f t="shared" si="21"/>
        <v/>
      </c>
      <c r="AB27" s="480" t="str">
        <f t="shared" si="21"/>
        <v/>
      </c>
      <c r="AC27" s="439">
        <f t="shared" ref="AC27:AF31" si="23">IF($J27=AC$3,$M27,IF($N27=AC$3,$Q27,IF($S27=AC$3,$W27,IF($T27=AC$3,$X27,""))))</f>
        <v>0.41666666666666669</v>
      </c>
      <c r="AD27" s="439" t="str">
        <f t="shared" si="23"/>
        <v/>
      </c>
      <c r="AE27" s="439" t="str">
        <f t="shared" si="23"/>
        <v/>
      </c>
      <c r="AF27" s="439" t="str">
        <f t="shared" si="23"/>
        <v/>
      </c>
      <c r="AG27" s="480">
        <v>0.41666666666666669</v>
      </c>
      <c r="AH27" s="439">
        <f>IF($J27=AH$3,$M27,IF($N27=AH$3,$Q27,IF($S27=AH$3,$W27,IF($T27=AH$3,$X27,""))))</f>
        <v>0.41666666666666669</v>
      </c>
      <c r="AI27" s="439">
        <f t="shared" si="4"/>
        <v>0</v>
      </c>
      <c r="AJ27" s="1"/>
    </row>
    <row r="28" spans="1:36" ht="18" customHeight="1" x14ac:dyDescent="0.3">
      <c r="A28" s="62" t="s">
        <v>11</v>
      </c>
      <c r="B28" s="63">
        <v>26</v>
      </c>
      <c r="C28" s="201"/>
      <c r="D28" s="174"/>
      <c r="E28" s="229"/>
      <c r="F28" s="199" t="s">
        <v>86</v>
      </c>
      <c r="G28" s="103">
        <v>0.58333333333333337</v>
      </c>
      <c r="H28" s="103">
        <v>0.89583333333333337</v>
      </c>
      <c r="I28" s="113">
        <f t="shared" si="19"/>
        <v>0.3125</v>
      </c>
      <c r="J28" s="114" t="s">
        <v>76</v>
      </c>
      <c r="K28" s="103">
        <v>0.58333333333333337</v>
      </c>
      <c r="L28" s="140">
        <v>0.89583333333333337</v>
      </c>
      <c r="M28" s="113">
        <f>L28-K28</f>
        <v>0.3125</v>
      </c>
      <c r="N28" s="114" t="s">
        <v>75</v>
      </c>
      <c r="O28" s="103">
        <v>0.64583333333333337</v>
      </c>
      <c r="P28" s="103">
        <v>0.89583333333333337</v>
      </c>
      <c r="Q28" s="157">
        <f t="shared" si="20"/>
        <v>0.25</v>
      </c>
      <c r="R28" s="245"/>
      <c r="S28" s="497"/>
      <c r="T28" s="243"/>
      <c r="U28" s="103">
        <v>0.875</v>
      </c>
      <c r="V28" s="103">
        <v>0.39583333333333331</v>
      </c>
      <c r="W28" s="104">
        <v>0.41666666666666669</v>
      </c>
      <c r="X28" s="558"/>
      <c r="Y28" s="438" t="str">
        <f t="shared" si="22"/>
        <v/>
      </c>
      <c r="Z28" s="439" t="str">
        <f t="shared" si="22"/>
        <v/>
      </c>
      <c r="AA28" s="439" t="str">
        <f t="shared" si="21"/>
        <v/>
      </c>
      <c r="AB28" s="439" t="str">
        <f t="shared" si="21"/>
        <v/>
      </c>
      <c r="AC28" s="439" t="str">
        <f t="shared" si="23"/>
        <v/>
      </c>
      <c r="AD28" s="439">
        <f t="shared" si="23"/>
        <v>0.25</v>
      </c>
      <c r="AE28" s="439">
        <f t="shared" si="23"/>
        <v>0.3125</v>
      </c>
      <c r="AF28" s="439" t="str">
        <f t="shared" si="23"/>
        <v/>
      </c>
      <c r="AG28" s="439" t="str">
        <f>IF($J28=AG$3,$M28,IF($N28=AG$3,$Q28,IF($S28=AG$3,$W28,IF($T28=AG$3,$X28,""))))</f>
        <v/>
      </c>
      <c r="AH28" s="439" t="str">
        <f>IF($J28=AH$3,$M28,IF($N28=AH$3,$Q28,IF($S28=AH$3,$W28,IF($T28=AH$3,$X28,""))))</f>
        <v/>
      </c>
      <c r="AI28" s="439">
        <f t="shared" si="4"/>
        <v>0.41666666666666669</v>
      </c>
      <c r="AJ28" s="1"/>
    </row>
    <row r="29" spans="1:36" ht="18" customHeight="1" thickBot="1" x14ac:dyDescent="0.35">
      <c r="A29" s="58" t="s">
        <v>12</v>
      </c>
      <c r="B29" s="59">
        <v>27</v>
      </c>
      <c r="C29" s="184"/>
      <c r="D29" s="176" t="s">
        <v>37</v>
      </c>
      <c r="E29" s="204"/>
      <c r="F29" s="177" t="s">
        <v>76</v>
      </c>
      <c r="G29" s="103">
        <v>0.58333333333333337</v>
      </c>
      <c r="H29" s="103">
        <v>0.83333333333333337</v>
      </c>
      <c r="I29" s="178">
        <f t="shared" si="19"/>
        <v>0.25</v>
      </c>
      <c r="J29" s="107" t="s">
        <v>78</v>
      </c>
      <c r="K29" s="108">
        <v>0.58333333333333337</v>
      </c>
      <c r="L29" s="109">
        <v>0.83333333333333337</v>
      </c>
      <c r="M29" s="142">
        <f>L29-K29</f>
        <v>0.25</v>
      </c>
      <c r="N29" s="164" t="s">
        <v>76</v>
      </c>
      <c r="O29" s="165">
        <v>0.64583333333333337</v>
      </c>
      <c r="P29" s="165">
        <v>0.83333333333333337</v>
      </c>
      <c r="Q29" s="166">
        <f t="shared" si="20"/>
        <v>0.1875</v>
      </c>
      <c r="R29" s="246"/>
      <c r="S29" s="487"/>
      <c r="T29" s="243"/>
      <c r="U29" s="108">
        <v>0.79166666666666663</v>
      </c>
      <c r="V29" s="108">
        <v>0.45833333333333331</v>
      </c>
      <c r="W29" s="110">
        <v>0.47916666666666669</v>
      </c>
      <c r="X29" s="558"/>
      <c r="Y29" s="438" t="str">
        <f t="shared" si="22"/>
        <v/>
      </c>
      <c r="Z29" s="439" t="str">
        <f t="shared" si="22"/>
        <v/>
      </c>
      <c r="AA29" s="480">
        <v>0.31666666666666665</v>
      </c>
      <c r="AB29" s="439" t="str">
        <f>IF($J29=AB$3,$M29,IF($N29=AB$3,$Q29,IF($S29=AB$3,$W29,IF($T29=AB$3,$X29,""))))</f>
        <v/>
      </c>
      <c r="AC29" s="439" t="str">
        <f t="shared" si="23"/>
        <v/>
      </c>
      <c r="AD29" s="439" t="str">
        <f t="shared" si="23"/>
        <v/>
      </c>
      <c r="AE29" s="439">
        <f t="shared" si="23"/>
        <v>0.1875</v>
      </c>
      <c r="AF29" s="439" t="str">
        <f t="shared" si="23"/>
        <v/>
      </c>
      <c r="AG29" s="439" t="str">
        <f>IF($J29=AG$3,$M29,IF($N29=AG$3,$Q29,IF($S29=AG$3,$W29,IF($T29=AG$3,$X29,""))))</f>
        <v/>
      </c>
      <c r="AH29" s="439">
        <f>IF($J29=AH$3,$M29,IF($N29=AH$3,$Q29,IF($S29=AH$3,$W29,IF($T29=AH$3,$X29,""))))</f>
        <v>0.25</v>
      </c>
      <c r="AI29" s="439">
        <f t="shared" si="4"/>
        <v>0.47916666666666669</v>
      </c>
      <c r="AJ29" s="1"/>
    </row>
    <row r="30" spans="1:36" ht="18" customHeight="1" thickBot="1" x14ac:dyDescent="0.35">
      <c r="A30" s="447" t="s">
        <v>13</v>
      </c>
      <c r="B30" s="448">
        <v>28</v>
      </c>
      <c r="C30" s="449"/>
      <c r="D30" s="450" t="s">
        <v>37</v>
      </c>
      <c r="E30" s="451"/>
      <c r="F30" s="452" t="s">
        <v>76</v>
      </c>
      <c r="G30" s="453">
        <v>0.4375</v>
      </c>
      <c r="H30" s="453">
        <v>0.8125</v>
      </c>
      <c r="I30" s="454">
        <f t="shared" si="19"/>
        <v>0.375</v>
      </c>
      <c r="J30" s="455" t="s">
        <v>56</v>
      </c>
      <c r="K30" s="453">
        <v>0.4375</v>
      </c>
      <c r="L30" s="456">
        <v>0.83333333333333337</v>
      </c>
      <c r="M30" s="454">
        <f t="shared" ref="M30:M31" si="24">L30-K30</f>
        <v>0.39583333333333337</v>
      </c>
      <c r="N30" s="455"/>
      <c r="O30" s="453"/>
      <c r="P30" s="456"/>
      <c r="Q30" s="454">
        <f t="shared" si="20"/>
        <v>0</v>
      </c>
      <c r="R30" s="457"/>
      <c r="S30" s="458" t="s">
        <v>77</v>
      </c>
      <c r="T30" s="559" t="s">
        <v>54</v>
      </c>
      <c r="U30" s="459">
        <v>0.79166666666666663</v>
      </c>
      <c r="V30" s="459">
        <v>0.45833333333333331</v>
      </c>
      <c r="W30" s="460">
        <v>0.47916666666666669</v>
      </c>
      <c r="X30" s="558"/>
      <c r="Y30" s="445" t="str">
        <f t="shared" si="22"/>
        <v/>
      </c>
      <c r="Z30" s="446" t="str">
        <f t="shared" si="22"/>
        <v/>
      </c>
      <c r="AA30" s="481" t="str">
        <f>IF($J30=AA$3,$M30,IF($N30=AA$3,$Q30,IF($S30=AA$3,$W30,IF($T30=AA$3,$X30,""))))</f>
        <v/>
      </c>
      <c r="AB30" s="446" t="str">
        <f>IF($J30=AB$3,$M30,IF($N30=AB$3,$Q30,IF($S30=AB$3,$W30,IF($T30=AB$3,$X30,""))))</f>
        <v/>
      </c>
      <c r="AC30" s="446" t="str">
        <f t="shared" si="23"/>
        <v/>
      </c>
      <c r="AD30" s="446" t="str">
        <f t="shared" si="23"/>
        <v/>
      </c>
      <c r="AE30" s="446" t="str">
        <f t="shared" si="23"/>
        <v/>
      </c>
      <c r="AF30" s="446">
        <f t="shared" si="23"/>
        <v>0.47916666666666669</v>
      </c>
      <c r="AG30" s="446">
        <f>IF($J30=AG$3,$M30,IF($N30=AG$3,$Q30,IF($S30=AG$3,$W30,IF($T30=AG$3,$X30,""))))</f>
        <v>0.39583333333333337</v>
      </c>
      <c r="AH30" s="446" t="str">
        <f>IF($J30=AH$3,$M30,IF($N30=AH$3,$Q30,IF($S30=AH$3,$W30,IF($T30=AH$3,$X30,""))))</f>
        <v/>
      </c>
      <c r="AI30" s="446">
        <f t="shared" si="4"/>
        <v>0</v>
      </c>
      <c r="AJ30" s="148"/>
    </row>
    <row r="31" spans="1:36" ht="18" customHeight="1" thickBot="1" x14ac:dyDescent="0.35">
      <c r="A31" s="461" t="s">
        <v>14</v>
      </c>
      <c r="B31" s="462">
        <v>1</v>
      </c>
      <c r="C31" s="463"/>
      <c r="D31" s="464" t="s">
        <v>37</v>
      </c>
      <c r="E31" s="465"/>
      <c r="F31" s="466" t="s">
        <v>94</v>
      </c>
      <c r="G31" s="467">
        <v>0.4375</v>
      </c>
      <c r="H31" s="467">
        <v>0.8125</v>
      </c>
      <c r="I31" s="468">
        <f t="shared" si="19"/>
        <v>0.375</v>
      </c>
      <c r="J31" s="488"/>
      <c r="K31" s="470">
        <v>0.4375</v>
      </c>
      <c r="L31" s="471">
        <v>0.83333333333333337</v>
      </c>
      <c r="M31" s="472">
        <f t="shared" si="24"/>
        <v>0.39583333333333337</v>
      </c>
      <c r="N31" s="469"/>
      <c r="O31" s="470"/>
      <c r="P31" s="471"/>
      <c r="Q31" s="472">
        <f t="shared" si="20"/>
        <v>0</v>
      </c>
      <c r="R31" s="473"/>
      <c r="S31" s="486"/>
      <c r="T31" s="560"/>
      <c r="U31" s="474">
        <v>0.79166666666666663</v>
      </c>
      <c r="V31" s="474">
        <v>0.45833333333333331</v>
      </c>
      <c r="W31" s="475">
        <v>0.5</v>
      </c>
      <c r="X31" s="558"/>
      <c r="Y31" s="445" t="str">
        <f t="shared" si="22"/>
        <v/>
      </c>
      <c r="Z31" s="446" t="str">
        <f t="shared" si="22"/>
        <v/>
      </c>
      <c r="AA31" s="481" t="str">
        <f>IF($J31=AA$3,$M31,IF($N31=AA$3,$Q31,IF($S31=AA$3,$W31,IF($T31=AA$3,$X31,""))))</f>
        <v/>
      </c>
      <c r="AB31" s="446" t="str">
        <f>IF($J31=AB$3,$M31,IF($N31=AB$3,$Q31,IF($S31=AB$3,$W31,IF($T31=AB$3,$X31,""))))</f>
        <v/>
      </c>
      <c r="AC31" s="446" t="str">
        <f t="shared" si="23"/>
        <v/>
      </c>
      <c r="AD31" s="446" t="str">
        <f t="shared" si="23"/>
        <v/>
      </c>
      <c r="AE31" s="446" t="str">
        <f t="shared" si="23"/>
        <v/>
      </c>
      <c r="AF31" s="446" t="str">
        <f t="shared" si="23"/>
        <v/>
      </c>
      <c r="AG31" s="446" t="str">
        <f>IF($J31=AG$3,$M31,IF($N31=AG$3,$Q31,IF($S31=AG$3,$W31,IF($T31=AG$3,$X31,""))))</f>
        <v/>
      </c>
      <c r="AH31" s="446" t="str">
        <f>IF($J31=AH$3,$M31,IF($N31=AH$3,$Q31,IF($S31=AH$3,$W31,IF($T31=AH$3,$X31,""))))</f>
        <v/>
      </c>
      <c r="AI31" s="446">
        <f t="shared" si="4"/>
        <v>0.39583333333333337</v>
      </c>
      <c r="AJ31" s="148"/>
    </row>
    <row r="32" spans="1:36" ht="18" customHeight="1" thickBot="1" x14ac:dyDescent="0.35">
      <c r="A32" s="210"/>
      <c r="B32" s="211"/>
      <c r="C32" s="211"/>
      <c r="D32" s="211"/>
      <c r="E32" s="211"/>
      <c r="F32" s="211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211"/>
      <c r="R32" s="211"/>
      <c r="S32" s="211"/>
      <c r="T32" s="208"/>
      <c r="U32" s="212"/>
      <c r="V32" s="212"/>
      <c r="W32" s="213" t="e">
        <f>SUM(#REF!)</f>
        <v>#REF!</v>
      </c>
      <c r="X32" s="187"/>
      <c r="Y32" s="209">
        <f t="shared" ref="Y32:AI32" si="25">SUM(Y4:Y31)</f>
        <v>4.427083333333333</v>
      </c>
      <c r="Z32" s="209">
        <f t="shared" si="25"/>
        <v>0.95833333333333326</v>
      </c>
      <c r="AA32" s="209">
        <f t="shared" si="25"/>
        <v>1.6291666666666671</v>
      </c>
      <c r="AB32" s="209">
        <f t="shared" si="25"/>
        <v>0.125</v>
      </c>
      <c r="AC32" s="209">
        <f t="shared" si="25"/>
        <v>2.8124999999999996</v>
      </c>
      <c r="AD32" s="209">
        <f t="shared" si="25"/>
        <v>0.89583333333333326</v>
      </c>
      <c r="AE32" s="209">
        <f t="shared" si="25"/>
        <v>3.5104166666666665</v>
      </c>
      <c r="AF32" s="209">
        <f t="shared" si="25"/>
        <v>2.2291666666666665</v>
      </c>
      <c r="AG32" s="209">
        <f t="shared" si="25"/>
        <v>5.15625</v>
      </c>
      <c r="AH32" s="209">
        <f>SUM(AH4:AH31)</f>
        <v>2.4583333333333335</v>
      </c>
      <c r="AI32" s="209">
        <f t="shared" si="25"/>
        <v>2.479166666666667</v>
      </c>
      <c r="AJ32" s="148"/>
    </row>
    <row r="33" spans="1:36" ht="18" customHeight="1" thickBot="1" x14ac:dyDescent="0.35">
      <c r="A33" s="19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35"/>
      <c r="M33" s="35"/>
      <c r="N33" s="35"/>
      <c r="O33" s="35"/>
      <c r="P33" s="36"/>
      <c r="Q33" s="36"/>
      <c r="R33" s="36"/>
      <c r="S33" s="36"/>
      <c r="T33" s="37"/>
      <c r="U33" s="13"/>
      <c r="V33" s="14"/>
      <c r="W33" s="15"/>
      <c r="X33" s="134"/>
      <c r="Y33" s="485" t="s">
        <v>71</v>
      </c>
      <c r="Z33" s="485" t="s">
        <v>72</v>
      </c>
      <c r="AA33" s="485" t="s">
        <v>37</v>
      </c>
      <c r="AB33" s="485" t="s">
        <v>73</v>
      </c>
      <c r="AC33" s="485" t="s">
        <v>74</v>
      </c>
      <c r="AD33" s="485" t="s">
        <v>75</v>
      </c>
      <c r="AE33" s="485" t="s">
        <v>76</v>
      </c>
      <c r="AF33" s="485" t="s">
        <v>77</v>
      </c>
      <c r="AG33" s="485" t="s">
        <v>56</v>
      </c>
      <c r="AH33" s="485" t="s">
        <v>78</v>
      </c>
      <c r="AI33" s="147"/>
      <c r="AJ33" s="148"/>
    </row>
    <row r="34" spans="1:36" ht="18" customHeight="1" x14ac:dyDescent="0.3">
      <c r="A34" s="20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4"/>
      <c r="M34" s="4"/>
      <c r="N34" s="3"/>
      <c r="O34" s="4"/>
      <c r="P34" s="6"/>
      <c r="Q34" s="6"/>
      <c r="R34" s="6"/>
      <c r="S34" s="6"/>
      <c r="T34" s="3"/>
      <c r="U34" s="7"/>
      <c r="V34" s="8" t="s">
        <v>1</v>
      </c>
      <c r="W34" s="11"/>
      <c r="X34" s="129">
        <v>1</v>
      </c>
      <c r="Y34" s="119">
        <f t="shared" ref="Y34:AI34" si="26">SUM(Y4:Y10)</f>
        <v>1.4375</v>
      </c>
      <c r="Z34" s="117">
        <f t="shared" si="26"/>
        <v>0.125</v>
      </c>
      <c r="AA34" s="123">
        <f t="shared" si="26"/>
        <v>0.25</v>
      </c>
      <c r="AB34" s="117">
        <f t="shared" si="26"/>
        <v>0</v>
      </c>
      <c r="AC34" s="123">
        <f t="shared" si="26"/>
        <v>1.0625</v>
      </c>
      <c r="AD34" s="117">
        <f t="shared" si="26"/>
        <v>0</v>
      </c>
      <c r="AE34" s="117">
        <f t="shared" si="26"/>
        <v>1.6041666666666667</v>
      </c>
      <c r="AF34" s="117">
        <f t="shared" si="26"/>
        <v>0.625</v>
      </c>
      <c r="AG34" s="123">
        <f t="shared" si="26"/>
        <v>1.572916666666667</v>
      </c>
      <c r="AH34" s="117">
        <f t="shared" si="26"/>
        <v>0.45833333333333331</v>
      </c>
      <c r="AI34" s="126">
        <f t="shared" si="26"/>
        <v>0.4375</v>
      </c>
      <c r="AJ34" s="148"/>
    </row>
    <row r="35" spans="1:36" ht="18" customHeight="1" x14ac:dyDescent="0.3">
      <c r="A35" s="2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4"/>
      <c r="M35" s="4"/>
      <c r="N35" s="3"/>
      <c r="O35" s="4"/>
      <c r="P35" s="6"/>
      <c r="Q35" s="6"/>
      <c r="R35" s="6"/>
      <c r="S35" s="6"/>
      <c r="T35" s="3"/>
      <c r="U35" s="7"/>
      <c r="V35" s="8" t="s">
        <v>16</v>
      </c>
      <c r="W35" s="11"/>
      <c r="X35" s="129">
        <v>2</v>
      </c>
      <c r="Y35" s="120">
        <f t="shared" ref="Y35:AI35" si="27">SUM(Y11:Y17)</f>
        <v>1.3020833333333335</v>
      </c>
      <c r="Z35" s="118">
        <f t="shared" si="27"/>
        <v>0.58333333333333326</v>
      </c>
      <c r="AA35" s="124">
        <f t="shared" si="27"/>
        <v>0.64583333333333337</v>
      </c>
      <c r="AB35" s="118">
        <f t="shared" si="27"/>
        <v>0.125</v>
      </c>
      <c r="AC35" s="124">
        <f t="shared" si="27"/>
        <v>0.35416666666666663</v>
      </c>
      <c r="AD35" s="118">
        <f t="shared" si="27"/>
        <v>0</v>
      </c>
      <c r="AE35" s="118">
        <f t="shared" si="27"/>
        <v>0.80208333333333326</v>
      </c>
      <c r="AF35" s="118">
        <f t="shared" si="27"/>
        <v>0.60416666666666674</v>
      </c>
      <c r="AG35" s="124">
        <f t="shared" si="27"/>
        <v>0.93750000000000011</v>
      </c>
      <c r="AH35" s="118">
        <f t="shared" si="27"/>
        <v>0</v>
      </c>
      <c r="AI35" s="127">
        <f t="shared" si="27"/>
        <v>0.75</v>
      </c>
      <c r="AJ35" s="148"/>
    </row>
    <row r="36" spans="1:36" ht="18" customHeight="1" x14ac:dyDescent="0.3">
      <c r="A36" s="20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4"/>
      <c r="M36" s="4"/>
      <c r="N36" s="3"/>
      <c r="O36" s="4"/>
      <c r="P36" s="6"/>
      <c r="Q36" s="6"/>
      <c r="R36" s="6"/>
      <c r="S36" s="6"/>
      <c r="T36" s="3"/>
      <c r="U36" s="7"/>
      <c r="V36" s="8" t="s">
        <v>1</v>
      </c>
      <c r="W36" s="11"/>
      <c r="X36" s="129">
        <v>3</v>
      </c>
      <c r="Y36" s="120">
        <f t="shared" ref="Y36:AI36" si="28">SUM(Y18:Y24)</f>
        <v>0.89583333333333326</v>
      </c>
      <c r="Z36" s="118">
        <f t="shared" si="28"/>
        <v>0</v>
      </c>
      <c r="AA36" s="124">
        <f t="shared" si="28"/>
        <v>0</v>
      </c>
      <c r="AB36" s="118">
        <f t="shared" si="28"/>
        <v>0</v>
      </c>
      <c r="AC36" s="124">
        <f t="shared" si="28"/>
        <v>0.625</v>
      </c>
      <c r="AD36" s="118">
        <f t="shared" si="28"/>
        <v>0.52083333333333326</v>
      </c>
      <c r="AE36" s="118">
        <f t="shared" si="28"/>
        <v>0.14583333333333326</v>
      </c>
      <c r="AF36" s="118">
        <f t="shared" si="28"/>
        <v>0.39583333333333337</v>
      </c>
      <c r="AG36" s="124">
        <f t="shared" si="28"/>
        <v>1.416666666666667</v>
      </c>
      <c r="AH36" s="118">
        <f t="shared" si="28"/>
        <v>0.79166666666666674</v>
      </c>
      <c r="AI36" s="127">
        <f t="shared" si="28"/>
        <v>0</v>
      </c>
      <c r="AJ36" s="148"/>
    </row>
    <row r="37" spans="1:36" ht="18" customHeight="1" x14ac:dyDescent="0.3">
      <c r="A37" s="20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4"/>
      <c r="M37" s="4"/>
      <c r="N37" s="3"/>
      <c r="O37" s="4"/>
      <c r="P37" s="6"/>
      <c r="Q37" s="6"/>
      <c r="R37" s="6"/>
      <c r="S37" s="6"/>
      <c r="T37" s="3"/>
      <c r="U37" s="7"/>
      <c r="V37" s="8" t="s">
        <v>1</v>
      </c>
      <c r="W37" s="11"/>
      <c r="X37" s="129">
        <v>4</v>
      </c>
      <c r="Y37" s="121">
        <f t="shared" ref="Y37:AI37" si="29">SUM(Y25:Y31)</f>
        <v>0.79166666666666674</v>
      </c>
      <c r="Z37" s="122">
        <f t="shared" si="29"/>
        <v>0.25</v>
      </c>
      <c r="AA37" s="125">
        <f t="shared" si="29"/>
        <v>0.73333333333333361</v>
      </c>
      <c r="AB37" s="122">
        <f t="shared" si="29"/>
        <v>0</v>
      </c>
      <c r="AC37" s="125">
        <f t="shared" si="29"/>
        <v>0.77083333333333326</v>
      </c>
      <c r="AD37" s="122">
        <f t="shared" si="29"/>
        <v>0.375</v>
      </c>
      <c r="AE37" s="122">
        <f t="shared" si="29"/>
        <v>0.95833333333333326</v>
      </c>
      <c r="AF37" s="122">
        <f t="shared" si="29"/>
        <v>0.60416666666666674</v>
      </c>
      <c r="AG37" s="125">
        <f t="shared" si="29"/>
        <v>1.2291666666666667</v>
      </c>
      <c r="AH37" s="122">
        <f t="shared" si="29"/>
        <v>1.2083333333333335</v>
      </c>
      <c r="AI37" s="128">
        <f t="shared" si="29"/>
        <v>1.2916666666666667</v>
      </c>
      <c r="AJ37" s="148"/>
    </row>
    <row r="38" spans="1:36" ht="18" customHeight="1" thickBot="1" x14ac:dyDescent="0.35">
      <c r="A38" s="20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4"/>
      <c r="M38" s="4"/>
      <c r="N38" s="3"/>
      <c r="O38" s="4"/>
      <c r="P38" s="6"/>
      <c r="Q38" s="6"/>
      <c r="R38" s="6"/>
      <c r="S38" s="6"/>
      <c r="T38" s="3"/>
      <c r="U38" s="130"/>
      <c r="V38" s="131" t="s">
        <v>1</v>
      </c>
      <c r="W38" s="132"/>
      <c r="X38" s="133">
        <v>5</v>
      </c>
      <c r="Y38" s="151" t="e">
        <f>SUM(#REF!)</f>
        <v>#REF!</v>
      </c>
      <c r="Z38" s="151" t="e">
        <f>SUM(#REF!)</f>
        <v>#REF!</v>
      </c>
      <c r="AA38" s="151" t="e">
        <f>SUM(#REF!)</f>
        <v>#REF!</v>
      </c>
      <c r="AB38" s="151" t="e">
        <f>SUM(#REF!)</f>
        <v>#REF!</v>
      </c>
      <c r="AC38" s="151" t="e">
        <f>SUM(#REF!)</f>
        <v>#REF!</v>
      </c>
      <c r="AD38" s="151" t="e">
        <f>SUM(#REF!)</f>
        <v>#REF!</v>
      </c>
      <c r="AE38" s="151" t="e">
        <f>SUM(#REF!)</f>
        <v>#REF!</v>
      </c>
      <c r="AF38" s="151" t="e">
        <f>SUM(#REF!)</f>
        <v>#REF!</v>
      </c>
      <c r="AG38" s="151" t="e">
        <f>SUM(#REF!)</f>
        <v>#REF!</v>
      </c>
      <c r="AH38" s="151" t="e">
        <f>SUM(#REF!)</f>
        <v>#REF!</v>
      </c>
      <c r="AI38" s="202" t="e">
        <f>SUM(#REF!)</f>
        <v>#REF!</v>
      </c>
      <c r="AJ38" s="1"/>
    </row>
    <row r="39" spans="1:36" ht="18" customHeight="1" thickBot="1" x14ac:dyDescent="0.35">
      <c r="A39" s="2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23"/>
      <c r="M39" s="23"/>
      <c r="N39" s="22"/>
      <c r="O39" s="23"/>
      <c r="P39" s="24"/>
      <c r="Q39" s="24"/>
      <c r="R39" s="24"/>
      <c r="S39" s="24"/>
      <c r="T39" s="135"/>
      <c r="U39" s="32" t="s">
        <v>17</v>
      </c>
      <c r="V39" s="32"/>
      <c r="W39" s="33"/>
      <c r="X39" s="136"/>
      <c r="Y39" s="38">
        <v>6.333333333333333</v>
      </c>
      <c r="Z39" s="39">
        <v>6.333333333333333</v>
      </c>
      <c r="AA39" s="39">
        <v>3.1666666666666665</v>
      </c>
      <c r="AB39" s="39"/>
      <c r="AC39" s="39">
        <v>3.7916666666666665</v>
      </c>
      <c r="AD39" s="39">
        <v>5.0666666666666664</v>
      </c>
      <c r="AE39" s="39">
        <v>5.0666666666666664</v>
      </c>
      <c r="AF39" s="39">
        <v>2.5333333333333332</v>
      </c>
      <c r="AG39" s="39">
        <v>6.333333333333333</v>
      </c>
      <c r="AH39" s="39">
        <v>3.1666666666666665</v>
      </c>
      <c r="AI39" s="203"/>
      <c r="AJ39" s="1"/>
    </row>
    <row r="40" spans="1:36" ht="40.25" customHeight="1" thickBot="1" x14ac:dyDescent="0.35">
      <c r="A40" s="26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28"/>
      <c r="M40" s="28"/>
      <c r="N40" s="27"/>
      <c r="O40" s="28"/>
      <c r="P40" s="29"/>
      <c r="Q40" s="29"/>
      <c r="R40" s="29"/>
      <c r="S40" s="29"/>
      <c r="T40" s="135"/>
      <c r="U40" s="32" t="s">
        <v>18</v>
      </c>
      <c r="V40" s="32"/>
      <c r="W40" s="33"/>
      <c r="X40" s="34"/>
      <c r="Y40" s="137">
        <f t="shared" ref="Y40:AI40" si="30">Y39-Y32</f>
        <v>1.90625</v>
      </c>
      <c r="Z40" s="137">
        <f t="shared" si="30"/>
        <v>5.375</v>
      </c>
      <c r="AA40" s="138">
        <f t="shared" si="30"/>
        <v>1.5374999999999994</v>
      </c>
      <c r="AB40" s="138">
        <f t="shared" si="30"/>
        <v>-0.125</v>
      </c>
      <c r="AC40" s="138">
        <f t="shared" si="30"/>
        <v>0.97916666666666696</v>
      </c>
      <c r="AD40" s="138">
        <f t="shared" si="30"/>
        <v>4.1708333333333334</v>
      </c>
      <c r="AE40" s="138">
        <f t="shared" si="30"/>
        <v>1.5562499999999999</v>
      </c>
      <c r="AF40" s="138">
        <f t="shared" si="30"/>
        <v>0.3041666666666667</v>
      </c>
      <c r="AG40" s="138">
        <f t="shared" si="30"/>
        <v>1.177083333333333</v>
      </c>
      <c r="AH40" s="138">
        <f t="shared" si="30"/>
        <v>0.70833333333333304</v>
      </c>
      <c r="AI40" s="139">
        <f t="shared" si="30"/>
        <v>-2.479166666666667</v>
      </c>
      <c r="AJ40" s="1"/>
    </row>
    <row r="41" spans="1:36" ht="18" customHeight="1" x14ac:dyDescent="0.3">
      <c r="A41" s="1"/>
      <c r="B41" s="1"/>
      <c r="C41" s="16"/>
      <c r="D41" s="16"/>
      <c r="E41" s="16"/>
      <c r="F41" s="1"/>
      <c r="G41" s="1"/>
      <c r="H41" s="1"/>
      <c r="I41" s="1"/>
      <c r="J41" s="3"/>
      <c r="K41" s="4"/>
      <c r="L41" s="4"/>
      <c r="M41" s="4"/>
      <c r="N41" s="3"/>
      <c r="O41" s="4"/>
      <c r="P41" s="6"/>
      <c r="Q41" s="6"/>
      <c r="R41" s="6"/>
      <c r="S41" s="6"/>
      <c r="T41" s="3"/>
      <c r="U41" s="9"/>
      <c r="V41" s="9"/>
      <c r="W41" s="10"/>
      <c r="X41" s="30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25"/>
    </row>
    <row r="42" spans="1:36" ht="18" customHeight="1" x14ac:dyDescent="0.3">
      <c r="A42" s="239"/>
      <c r="B42" s="239"/>
      <c r="C42" s="239"/>
      <c r="D42" s="239"/>
      <c r="E42" s="239"/>
      <c r="F42" s="240"/>
      <c r="G42" s="241"/>
    </row>
    <row r="43" spans="1:36" ht="18" customHeight="1" x14ac:dyDescent="0.3">
      <c r="A43" s="239"/>
      <c r="B43" s="239"/>
      <c r="C43" s="239"/>
      <c r="D43" s="239"/>
      <c r="E43" s="239"/>
      <c r="F43" s="240"/>
      <c r="G43" s="241"/>
    </row>
  </sheetData>
  <customSheetViews>
    <customSheetView guid="{0BC3303A-329D-40D9-85DF-BD43BA3EA599}" showRuler="0">
      <selection activeCell="E19" sqref="E19"/>
      <pageMargins left="0" right="0" top="0" bottom="0" header="0" footer="0"/>
      <pageSetup paperSize="9" orientation="portrait" horizontalDpi="4294967293" verticalDpi="0" r:id="rId1"/>
      <headerFooter alignWithMargins="0"/>
    </customSheetView>
    <customSheetView guid="{39A45727-8990-45B9-814F-4AC899DF18A0}">
      <selection activeCell="E19" sqref="E19"/>
      <pageMargins left="0" right="0" top="0" bottom="0" header="0" footer="0"/>
      <pageSetup paperSize="9" orientation="portrait" horizontalDpi="4294967293" verticalDpi="0" r:id="rId2"/>
      <headerFooter alignWithMargins="0"/>
    </customSheetView>
    <customSheetView guid="{4E1BCABA-455C-4F9D-B9B8-E866F11F31D6}" showRuler="0">
      <selection activeCell="E19" sqref="E19"/>
      <pageMargins left="0" right="0" top="0" bottom="0" header="0" footer="0"/>
      <pageSetup paperSize="9" orientation="portrait" horizontalDpi="4294967293" verticalDpi="0" r:id="rId3"/>
      <headerFooter alignWithMargins="0"/>
    </customSheetView>
    <customSheetView guid="{4215528C-8293-4CC6-B445-966FE740727C}" showRuler="0">
      <selection activeCell="E19" sqref="E19"/>
      <pageMargins left="0" right="0" top="0" bottom="0" header="0" footer="0"/>
      <headerFooter alignWithMargins="0"/>
    </customSheetView>
    <customSheetView guid="{F06E5032-145E-4265-B2BD-948E9E7E155C}" showRuler="0">
      <selection activeCell="E19" sqref="E19"/>
      <pageMargins left="0" right="0" top="0" bottom="0" header="0" footer="0"/>
      <headerFooter alignWithMargins="0"/>
    </customSheetView>
    <customSheetView guid="{D76CB30D-4ADE-4FA3-B43C-8B37D3120EA4}" showRuler="0">
      <selection activeCell="E19" sqref="E19"/>
      <pageMargins left="0" right="0" top="0" bottom="0" header="0" footer="0"/>
      <pageSetup paperSize="9" orientation="portrait" horizontalDpi="4294967293" verticalDpi="0" r:id="rId4"/>
      <headerFooter alignWithMargins="0"/>
    </customSheetView>
    <customSheetView guid="{9A72DB26-B0B3-4A66-A632-45F702FFF812}" showPageBreaks="1">
      <selection activeCell="E19" sqref="E19"/>
      <pageMargins left="0" right="0" top="0" bottom="0" header="0" footer="0"/>
      <pageSetup paperSize="9" orientation="portrait" horizontalDpi="4294967293" r:id="rId5"/>
      <headerFooter alignWithMargins="0"/>
    </customSheetView>
    <customSheetView guid="{90FA6A75-3D21-4A0C-B4B9-1F59C964FE85}" showPageBreaks="1" showRuler="0">
      <selection activeCell="E19" sqref="E19"/>
      <pageMargins left="0" right="0" top="0" bottom="0" header="0" footer="0"/>
      <pageSetup paperSize="9" orientation="portrait" horizontalDpi="4294967293" verticalDpi="0" r:id="rId6"/>
      <headerFooter alignWithMargins="0"/>
    </customSheetView>
  </customSheetViews>
  <mergeCells count="8">
    <mergeCell ref="A1:N1"/>
    <mergeCell ref="X1:X2"/>
    <mergeCell ref="A2:N2"/>
    <mergeCell ref="X3:X31"/>
    <mergeCell ref="T9:T10"/>
    <mergeCell ref="T16:T17"/>
    <mergeCell ref="T23:T24"/>
    <mergeCell ref="T30:T31"/>
  </mergeCells>
  <phoneticPr fontId="0" type="noConversion"/>
  <pageMargins left="0.75" right="0.75" top="1" bottom="1" header="0.5" footer="0.5"/>
  <pageSetup paperSize="9" orientation="portrait" horizontalDpi="4294967293" verticalDpi="0" r:id="rId7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L42"/>
  <sheetViews>
    <sheetView showGridLines="0" showRuler="0" zoomScale="70" zoomScaleNormal="70" workbookViewId="0">
      <selection activeCell="E7" sqref="E7"/>
    </sheetView>
  </sheetViews>
  <sheetFormatPr defaultColWidth="9.453125" defaultRowHeight="18" customHeight="1" x14ac:dyDescent="0.3"/>
  <cols>
    <col min="1" max="1" width="3.54296875" style="1" customWidth="1"/>
    <col min="2" max="2" width="3" style="1" customWidth="1"/>
    <col min="3" max="3" width="25.453125" style="16" customWidth="1"/>
    <col min="4" max="4" width="23.08984375" style="16" customWidth="1"/>
    <col min="5" max="5" width="9.453125" style="16" customWidth="1"/>
    <col min="6" max="6" width="12.54296875" style="1" customWidth="1"/>
    <col min="7" max="8" width="5.54296875" style="1" customWidth="1"/>
    <col min="9" max="9" width="4" style="1" customWidth="1"/>
    <col min="10" max="10" width="11.54296875" style="3" customWidth="1"/>
    <col min="11" max="12" width="5.54296875" style="4" customWidth="1"/>
    <col min="13" max="13" width="3.54296875" style="4" customWidth="1"/>
    <col min="14" max="14" width="11.54296875" style="3" customWidth="1"/>
    <col min="15" max="16" width="5.54296875" style="4" customWidth="1"/>
    <col min="17" max="17" width="3.54296875" style="4" customWidth="1"/>
    <col min="18" max="18" width="11.453125" style="4" customWidth="1"/>
    <col min="19" max="19" width="12.54296875" style="4" customWidth="1"/>
    <col min="20" max="20" width="22.08984375" style="3" customWidth="1"/>
    <col min="21" max="22" width="5.54296875" style="4" customWidth="1"/>
    <col min="23" max="23" width="3.54296875" style="12" customWidth="1"/>
    <col min="24" max="24" width="3" style="31" customWidth="1"/>
    <col min="25" max="36" width="6.54296875" style="1" customWidth="1"/>
    <col min="37" max="37" width="9.453125" style="1"/>
    <col min="38" max="38" width="12" style="1" customWidth="1"/>
    <col min="39" max="39" width="20.453125" style="1" customWidth="1"/>
    <col min="40" max="40" width="15.54296875" style="1" customWidth="1"/>
    <col min="41" max="41" width="57.54296875" style="1" customWidth="1"/>
    <col min="42" max="16384" width="9.453125" style="1"/>
  </cols>
  <sheetData>
    <row r="1" spans="1:64" s="2" customFormat="1" ht="29" customHeight="1" thickBot="1" x14ac:dyDescent="0.35">
      <c r="A1" s="533" t="s">
        <v>24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"/>
      <c r="P1" s="54"/>
      <c r="Q1" s="54"/>
      <c r="R1" s="54"/>
      <c r="S1" s="54"/>
      <c r="T1" s="55"/>
      <c r="U1" s="56"/>
      <c r="V1" s="56"/>
      <c r="W1" s="57"/>
      <c r="X1" s="538" t="s">
        <v>1</v>
      </c>
      <c r="Y1" s="40"/>
      <c r="Z1" s="5"/>
      <c r="AA1" s="5"/>
      <c r="AB1" s="5"/>
      <c r="AC1" s="5"/>
      <c r="AD1" s="5"/>
      <c r="AE1" s="5"/>
      <c r="AF1" s="5"/>
      <c r="AG1" s="5"/>
      <c r="AH1" s="5"/>
      <c r="AI1" s="5"/>
      <c r="AJ1" s="41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</row>
    <row r="2" spans="1:64" ht="27.75" customHeight="1" thickBot="1" x14ac:dyDescent="0.35">
      <c r="A2" s="540" t="s">
        <v>22</v>
      </c>
      <c r="B2" s="541"/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2"/>
      <c r="O2" s="67"/>
      <c r="P2" s="67"/>
      <c r="Q2" s="67"/>
      <c r="R2" s="67"/>
      <c r="S2" s="67"/>
      <c r="T2" s="67"/>
      <c r="U2" s="67"/>
      <c r="V2" s="67"/>
      <c r="W2" s="68"/>
      <c r="X2" s="539"/>
      <c r="Y2" s="195">
        <v>80</v>
      </c>
      <c r="Z2" s="196">
        <v>100</v>
      </c>
      <c r="AA2" s="196">
        <v>100</v>
      </c>
      <c r="AB2" s="196">
        <v>100</v>
      </c>
      <c r="AC2" s="196">
        <v>80</v>
      </c>
      <c r="AD2" s="196">
        <v>50</v>
      </c>
      <c r="AE2" s="196">
        <v>60</v>
      </c>
      <c r="AF2" s="196"/>
      <c r="AG2" s="196">
        <v>100</v>
      </c>
      <c r="AH2" s="196">
        <v>30</v>
      </c>
      <c r="AI2" s="196">
        <v>25</v>
      </c>
      <c r="AJ2" s="197">
        <v>10</v>
      </c>
      <c r="AK2" s="1">
        <f>SUM(Y2:AJ2)</f>
        <v>735</v>
      </c>
      <c r="AM2" s="17"/>
    </row>
    <row r="3" spans="1:64" ht="39" customHeight="1" thickBot="1" x14ac:dyDescent="0.35">
      <c r="A3" s="69"/>
      <c r="B3" s="70"/>
      <c r="C3" s="73" t="s">
        <v>2</v>
      </c>
      <c r="D3" s="74" t="s">
        <v>3</v>
      </c>
      <c r="E3" s="80" t="s">
        <v>4</v>
      </c>
      <c r="F3" s="75" t="s">
        <v>5</v>
      </c>
      <c r="G3" s="76"/>
      <c r="H3" s="75"/>
      <c r="I3" s="76"/>
      <c r="J3" s="79" t="s">
        <v>6</v>
      </c>
      <c r="K3" s="77"/>
      <c r="L3" s="77"/>
      <c r="M3" s="77"/>
      <c r="N3" s="78" t="s">
        <v>7</v>
      </c>
      <c r="O3" s="76"/>
      <c r="P3" s="77"/>
      <c r="Q3" s="77"/>
      <c r="R3" s="180"/>
      <c r="S3" s="181" t="s">
        <v>19</v>
      </c>
      <c r="T3" s="205" t="s">
        <v>8</v>
      </c>
      <c r="U3" s="47"/>
      <c r="V3" s="47"/>
      <c r="W3" s="48"/>
      <c r="X3" s="144">
        <v>0</v>
      </c>
      <c r="Y3" s="188" t="s">
        <v>48</v>
      </c>
      <c r="Z3" s="216" t="s">
        <v>49</v>
      </c>
      <c r="AA3" s="189" t="s">
        <v>50</v>
      </c>
      <c r="AB3" s="189" t="s">
        <v>51</v>
      </c>
      <c r="AC3" s="189" t="s">
        <v>52</v>
      </c>
      <c r="AD3" s="189" t="s">
        <v>53</v>
      </c>
      <c r="AE3" s="189" t="s">
        <v>54</v>
      </c>
      <c r="AF3" s="189" t="s">
        <v>55</v>
      </c>
      <c r="AG3" s="189" t="s">
        <v>88</v>
      </c>
      <c r="AH3" s="189" t="s">
        <v>26</v>
      </c>
      <c r="AI3" s="361" t="s">
        <v>56</v>
      </c>
      <c r="AJ3" s="190" t="s">
        <v>37</v>
      </c>
    </row>
    <row r="4" spans="1:64" ht="20.149999999999999" customHeight="1" x14ac:dyDescent="0.3">
      <c r="A4" s="169" t="s">
        <v>15</v>
      </c>
      <c r="B4" s="170">
        <v>2</v>
      </c>
      <c r="C4" s="182"/>
      <c r="D4" s="171" t="s">
        <v>48</v>
      </c>
      <c r="E4" s="198"/>
      <c r="F4" s="172"/>
      <c r="G4" s="103"/>
      <c r="H4" s="103"/>
      <c r="I4" s="173">
        <f t="shared" ref="I4:I8" si="0">H4-G4</f>
        <v>0</v>
      </c>
      <c r="J4" s="152" t="s">
        <v>54</v>
      </c>
      <c r="K4" s="153">
        <v>0.58333333333333337</v>
      </c>
      <c r="L4" s="154">
        <v>0.91666666666666663</v>
      </c>
      <c r="M4" s="155">
        <f t="shared" ref="M4:M6" si="1">L4-K4</f>
        <v>0.33333333333333326</v>
      </c>
      <c r="N4" s="156" t="s">
        <v>55</v>
      </c>
      <c r="O4" s="153">
        <v>0.58333333333333337</v>
      </c>
      <c r="P4" s="153">
        <v>0.875</v>
      </c>
      <c r="Q4" s="157">
        <f>P4-O4</f>
        <v>0.29166666666666663</v>
      </c>
      <c r="R4" s="158"/>
      <c r="S4" s="159" t="s">
        <v>51</v>
      </c>
      <c r="T4" s="207"/>
      <c r="U4" s="153">
        <v>0.875</v>
      </c>
      <c r="V4" s="153">
        <v>0.39583333333333331</v>
      </c>
      <c r="W4" s="160">
        <v>0.41666666666666669</v>
      </c>
      <c r="X4" s="532"/>
      <c r="Y4" s="357">
        <v>0.31666666666666665</v>
      </c>
      <c r="Z4" s="219"/>
      <c r="AA4" s="219"/>
      <c r="AB4" s="219">
        <v>0.41666666666666669</v>
      </c>
      <c r="AC4" s="220"/>
      <c r="AD4" s="220"/>
      <c r="AE4" s="219">
        <v>0.33333333333333331</v>
      </c>
      <c r="AF4" s="219">
        <v>0.29166666666666669</v>
      </c>
      <c r="AG4" s="219"/>
      <c r="AH4" s="220"/>
      <c r="AI4" s="362"/>
      <c r="AJ4" s="192"/>
    </row>
    <row r="5" spans="1:64" ht="20.149999999999999" customHeight="1" x14ac:dyDescent="0.3">
      <c r="A5" s="62" t="s">
        <v>9</v>
      </c>
      <c r="B5" s="63">
        <v>3</v>
      </c>
      <c r="C5" s="183" t="s">
        <v>63</v>
      </c>
      <c r="D5" s="174" t="s">
        <v>48</v>
      </c>
      <c r="E5" s="229"/>
      <c r="F5" s="175"/>
      <c r="G5" s="103"/>
      <c r="H5" s="103"/>
      <c r="I5" s="113">
        <f t="shared" si="0"/>
        <v>0</v>
      </c>
      <c r="J5" s="115" t="s">
        <v>49</v>
      </c>
      <c r="K5" s="103">
        <v>0.58333333333333337</v>
      </c>
      <c r="L5" s="140">
        <v>0.875</v>
      </c>
      <c r="M5" s="113">
        <f t="shared" si="1"/>
        <v>0.29166666666666663</v>
      </c>
      <c r="N5" s="114" t="s">
        <v>88</v>
      </c>
      <c r="O5" s="103">
        <v>0.58333333333333337</v>
      </c>
      <c r="P5" s="103">
        <v>0.91666666666666663</v>
      </c>
      <c r="Q5" s="157">
        <f t="shared" ref="Q5:Q8" si="2">P5-O5</f>
        <v>0.33333333333333326</v>
      </c>
      <c r="R5" s="161"/>
      <c r="S5" s="162" t="s">
        <v>52</v>
      </c>
      <c r="T5" s="206"/>
      <c r="U5" s="103">
        <v>0.875</v>
      </c>
      <c r="V5" s="103">
        <v>0.39583333333333331</v>
      </c>
      <c r="W5" s="104">
        <v>0.41666666666666669</v>
      </c>
      <c r="X5" s="532"/>
      <c r="Y5" s="357">
        <v>0.31666666666666665</v>
      </c>
      <c r="Z5" s="219">
        <v>0.41666666666666669</v>
      </c>
      <c r="AA5" s="219"/>
      <c r="AB5" s="219">
        <v>0.125</v>
      </c>
      <c r="AC5" s="220">
        <v>0.41666666666666669</v>
      </c>
      <c r="AD5" s="220">
        <v>0.125</v>
      </c>
      <c r="AE5" s="219">
        <v>0.125</v>
      </c>
      <c r="AF5" s="219">
        <v>0.125</v>
      </c>
      <c r="AG5" s="219">
        <v>0.41666666666666669</v>
      </c>
      <c r="AH5" s="220"/>
      <c r="AI5" s="362"/>
      <c r="AJ5" s="191"/>
    </row>
    <row r="6" spans="1:64" ht="20.149999999999999" customHeight="1" x14ac:dyDescent="0.3">
      <c r="A6" s="60" t="s">
        <v>10</v>
      </c>
      <c r="B6" s="61">
        <v>4</v>
      </c>
      <c r="C6" s="183"/>
      <c r="D6" s="174" t="s">
        <v>48</v>
      </c>
      <c r="E6" s="229" t="s">
        <v>88</v>
      </c>
      <c r="F6" s="199"/>
      <c r="G6" s="103"/>
      <c r="H6" s="103"/>
      <c r="I6" s="113">
        <f t="shared" si="0"/>
        <v>0</v>
      </c>
      <c r="J6" s="115" t="s">
        <v>51</v>
      </c>
      <c r="K6" s="105">
        <v>0.58333333333333337</v>
      </c>
      <c r="L6" s="141">
        <v>0.91666666666666663</v>
      </c>
      <c r="M6" s="113">
        <f t="shared" si="1"/>
        <v>0.33333333333333326</v>
      </c>
      <c r="N6" s="115" t="s">
        <v>55</v>
      </c>
      <c r="O6" s="103">
        <v>0.52083333333333337</v>
      </c>
      <c r="P6" s="103">
        <v>0.875</v>
      </c>
      <c r="Q6" s="157">
        <f t="shared" si="2"/>
        <v>0.35416666666666663</v>
      </c>
      <c r="R6" s="161"/>
      <c r="S6" s="163" t="s">
        <v>49</v>
      </c>
      <c r="T6" s="206"/>
      <c r="U6" s="105">
        <v>0.875</v>
      </c>
      <c r="V6" s="105">
        <v>0.39583333333333331</v>
      </c>
      <c r="W6" s="106">
        <v>0.41666666666666669</v>
      </c>
      <c r="X6" s="532"/>
      <c r="Y6" s="357">
        <v>0.31666666666666665</v>
      </c>
      <c r="Z6" s="219">
        <v>0.41666666666666669</v>
      </c>
      <c r="AA6" s="219"/>
      <c r="AB6" s="219">
        <v>0.33333333333333331</v>
      </c>
      <c r="AC6" s="220"/>
      <c r="AD6" s="220"/>
      <c r="AE6" s="219">
        <v>0.22916666666666666</v>
      </c>
      <c r="AF6" s="219">
        <v>0.29166666666666669</v>
      </c>
      <c r="AG6" s="219">
        <v>0.22916666666666666</v>
      </c>
      <c r="AH6" s="220"/>
      <c r="AI6" s="362"/>
      <c r="AJ6" s="191"/>
    </row>
    <row r="7" spans="1:64" ht="19.399999999999999" customHeight="1" x14ac:dyDescent="0.3">
      <c r="A7" s="62" t="s">
        <v>11</v>
      </c>
      <c r="B7" s="63">
        <v>5</v>
      </c>
      <c r="C7" s="201" t="s">
        <v>69</v>
      </c>
      <c r="D7" s="174" t="s">
        <v>48</v>
      </c>
      <c r="E7" s="429" t="s">
        <v>54</v>
      </c>
      <c r="F7" s="199" t="s">
        <v>90</v>
      </c>
      <c r="G7" s="103">
        <v>0.66666666666666663</v>
      </c>
      <c r="H7" s="103">
        <v>0.77083333333333337</v>
      </c>
      <c r="I7" s="113">
        <f t="shared" si="0"/>
        <v>0.10416666666666674</v>
      </c>
      <c r="J7" s="114" t="s">
        <v>88</v>
      </c>
      <c r="K7" s="103">
        <v>0.58333333333333337</v>
      </c>
      <c r="L7" s="140">
        <v>0.875</v>
      </c>
      <c r="M7" s="113">
        <f>L7-K7</f>
        <v>0.29166666666666663</v>
      </c>
      <c r="N7" s="114" t="s">
        <v>52</v>
      </c>
      <c r="O7" s="103">
        <v>0.58333333333333337</v>
      </c>
      <c r="P7" s="103">
        <v>0.91666666666666663</v>
      </c>
      <c r="Q7" s="157">
        <f t="shared" si="2"/>
        <v>0.33333333333333326</v>
      </c>
      <c r="R7" s="161"/>
      <c r="S7" s="162" t="s">
        <v>56</v>
      </c>
      <c r="T7" s="206"/>
      <c r="U7" s="103">
        <v>0.875</v>
      </c>
      <c r="V7" s="103">
        <v>0.39583333333333331</v>
      </c>
      <c r="W7" s="104">
        <v>0.41666666666666669</v>
      </c>
      <c r="X7" s="532"/>
      <c r="Y7" s="418">
        <v>0.31666666666666665</v>
      </c>
      <c r="Z7" s="219"/>
      <c r="AA7" s="219"/>
      <c r="AB7" s="219"/>
      <c r="AC7" s="220">
        <v>0.29166666666666669</v>
      </c>
      <c r="AD7" s="220"/>
      <c r="AE7" s="219">
        <v>0.22916666666666666</v>
      </c>
      <c r="AF7" s="219"/>
      <c r="AG7" s="219">
        <v>0.29166666666666669</v>
      </c>
      <c r="AH7" s="220"/>
      <c r="AI7" s="362">
        <v>0.41666666666666669</v>
      </c>
      <c r="AJ7" s="191"/>
    </row>
    <row r="8" spans="1:64" ht="18" customHeight="1" thickBot="1" x14ac:dyDescent="0.35">
      <c r="A8" s="58" t="s">
        <v>12</v>
      </c>
      <c r="B8" s="59">
        <v>6</v>
      </c>
      <c r="C8" s="184"/>
      <c r="D8" s="176" t="s">
        <v>48</v>
      </c>
      <c r="E8" s="204"/>
      <c r="F8" s="177"/>
      <c r="G8" s="103"/>
      <c r="H8" s="103"/>
      <c r="I8" s="178">
        <f t="shared" si="0"/>
        <v>0</v>
      </c>
      <c r="J8" s="107" t="s">
        <v>49</v>
      </c>
      <c r="K8" s="108">
        <v>0.58333333333333337</v>
      </c>
      <c r="L8" s="109">
        <v>0.83333333333333337</v>
      </c>
      <c r="M8" s="142">
        <f>L8-K8</f>
        <v>0.25</v>
      </c>
      <c r="N8" s="164"/>
      <c r="O8" s="165"/>
      <c r="P8" s="165"/>
      <c r="Q8" s="166">
        <f t="shared" si="2"/>
        <v>0</v>
      </c>
      <c r="R8" s="167"/>
      <c r="S8" s="168" t="s">
        <v>26</v>
      </c>
      <c r="T8" s="206"/>
      <c r="U8" s="108">
        <v>0.79166666666666663</v>
      </c>
      <c r="V8" s="108">
        <v>0.45833333333333331</v>
      </c>
      <c r="W8" s="110">
        <v>0.47916666666666669</v>
      </c>
      <c r="X8" s="532"/>
      <c r="Y8" s="360">
        <v>0.31666666666666665</v>
      </c>
      <c r="Z8" s="223">
        <v>0.25</v>
      </c>
      <c r="AA8" s="430"/>
      <c r="AB8" s="223"/>
      <c r="AC8" s="420" t="s">
        <v>46</v>
      </c>
      <c r="AD8" s="223"/>
      <c r="AE8" s="223"/>
      <c r="AF8" s="223"/>
      <c r="AG8" s="223"/>
      <c r="AH8" s="223">
        <v>0.47916666666666669</v>
      </c>
      <c r="AI8" s="363"/>
      <c r="AJ8" s="224"/>
    </row>
    <row r="9" spans="1:64" ht="18" customHeight="1" x14ac:dyDescent="0.3">
      <c r="A9" s="45" t="s">
        <v>13</v>
      </c>
      <c r="B9" s="66">
        <v>7</v>
      </c>
      <c r="C9" s="185"/>
      <c r="D9" s="81" t="s">
        <v>68</v>
      </c>
      <c r="E9" s="83"/>
      <c r="F9" s="495" t="s">
        <v>89</v>
      </c>
      <c r="G9" s="86"/>
      <c r="H9" s="86"/>
      <c r="I9" s="87">
        <v>0.33333333333333331</v>
      </c>
      <c r="J9" s="88" t="s">
        <v>55</v>
      </c>
      <c r="K9" s="86">
        <v>0.4375</v>
      </c>
      <c r="L9" s="89">
        <v>0.83333333333333337</v>
      </c>
      <c r="M9" s="87">
        <f t="shared" ref="M9:M13" si="3">L9-K9</f>
        <v>0.39583333333333337</v>
      </c>
      <c r="N9" s="88"/>
      <c r="O9" s="86"/>
      <c r="P9" s="89"/>
      <c r="Q9" s="87">
        <f t="shared" ref="Q9:Q10" si="4">P9-O9</f>
        <v>0</v>
      </c>
      <c r="R9" s="111"/>
      <c r="S9" s="90" t="s">
        <v>74</v>
      </c>
      <c r="T9" s="544" t="s">
        <v>60</v>
      </c>
      <c r="U9" s="91">
        <v>0.79166666666666663</v>
      </c>
      <c r="V9" s="91">
        <v>0.45833333333333331</v>
      </c>
      <c r="W9" s="92">
        <v>0.47916666666666669</v>
      </c>
      <c r="X9" s="532"/>
      <c r="Y9" s="359"/>
      <c r="Z9" s="49"/>
      <c r="AA9" s="431"/>
      <c r="AB9" s="49"/>
      <c r="AC9" s="421" t="s">
        <v>46</v>
      </c>
      <c r="AD9" s="49"/>
      <c r="AE9" s="49"/>
      <c r="AF9" s="49">
        <v>0.33333333333333331</v>
      </c>
      <c r="AG9" s="49"/>
      <c r="AH9" s="49"/>
      <c r="AI9" s="364"/>
      <c r="AJ9" s="50"/>
    </row>
    <row r="10" spans="1:64" ht="18" customHeight="1" thickBot="1" x14ac:dyDescent="0.35">
      <c r="A10" s="43" t="s">
        <v>14</v>
      </c>
      <c r="B10" s="44">
        <v>8</v>
      </c>
      <c r="C10" s="186" t="s">
        <v>58</v>
      </c>
      <c r="D10" s="82" t="s">
        <v>48</v>
      </c>
      <c r="E10" s="84"/>
      <c r="F10" s="93"/>
      <c r="G10" s="94"/>
      <c r="H10" s="94"/>
      <c r="I10" s="95">
        <f t="shared" ref="I10:I22" si="5">H10-G10</f>
        <v>0</v>
      </c>
      <c r="J10" s="96" t="s">
        <v>26</v>
      </c>
      <c r="K10" s="97">
        <v>0.4375</v>
      </c>
      <c r="L10" s="98">
        <v>0.83333333333333337</v>
      </c>
      <c r="M10" s="99">
        <f t="shared" si="3"/>
        <v>0.39583333333333337</v>
      </c>
      <c r="N10" s="96"/>
      <c r="O10" s="97"/>
      <c r="P10" s="98"/>
      <c r="Q10" s="99">
        <f t="shared" si="4"/>
        <v>0</v>
      </c>
      <c r="R10" s="179"/>
      <c r="S10" s="100" t="s">
        <v>51</v>
      </c>
      <c r="T10" s="545"/>
      <c r="U10" s="101">
        <v>0.79166666666666663</v>
      </c>
      <c r="V10" s="101">
        <v>0.39583333333333331</v>
      </c>
      <c r="W10" s="102">
        <v>0.5</v>
      </c>
      <c r="X10" s="543"/>
      <c r="Y10" s="358"/>
      <c r="Z10" s="230"/>
      <c r="AA10" s="432"/>
      <c r="AB10" s="230">
        <v>0.5</v>
      </c>
      <c r="AC10" s="422" t="s">
        <v>46</v>
      </c>
      <c r="AD10" s="230"/>
      <c r="AE10" s="230"/>
      <c r="AF10" s="230"/>
      <c r="AG10" s="230"/>
      <c r="AH10" s="230">
        <v>0.39583333333333331</v>
      </c>
      <c r="AI10" s="365"/>
      <c r="AJ10" s="231"/>
    </row>
    <row r="11" spans="1:64" ht="18" customHeight="1" x14ac:dyDescent="0.3">
      <c r="A11" s="169" t="s">
        <v>15</v>
      </c>
      <c r="B11" s="170">
        <v>9</v>
      </c>
      <c r="C11" s="182" t="s">
        <v>57</v>
      </c>
      <c r="D11" s="171"/>
      <c r="E11" s="198"/>
      <c r="F11" s="172"/>
      <c r="G11" s="103"/>
      <c r="H11" s="103"/>
      <c r="I11" s="173">
        <f t="shared" si="5"/>
        <v>0</v>
      </c>
      <c r="J11" s="152" t="s">
        <v>49</v>
      </c>
      <c r="K11" s="153">
        <v>0.58333333333333337</v>
      </c>
      <c r="L11" s="154">
        <v>0.91666666666666663</v>
      </c>
      <c r="M11" s="155">
        <f t="shared" si="3"/>
        <v>0.33333333333333326</v>
      </c>
      <c r="N11" s="156"/>
      <c r="O11" s="153">
        <v>0.58333333333333337</v>
      </c>
      <c r="P11" s="153">
        <v>0.875</v>
      </c>
      <c r="Q11" s="157">
        <f>P11-O11</f>
        <v>0.29166666666666663</v>
      </c>
      <c r="R11" s="158"/>
      <c r="S11" s="159" t="s">
        <v>88</v>
      </c>
      <c r="T11" s="207"/>
      <c r="U11" s="153">
        <v>0.875</v>
      </c>
      <c r="V11" s="153">
        <v>0.39583333333333331</v>
      </c>
      <c r="W11" s="160">
        <v>0.41666666666666669</v>
      </c>
      <c r="X11" s="535">
        <v>1</v>
      </c>
      <c r="Y11" s="434">
        <v>0.29166666666666669</v>
      </c>
      <c r="Z11" s="226">
        <v>0.33333333333333331</v>
      </c>
      <c r="AA11" s="226"/>
      <c r="AB11" s="226"/>
      <c r="AC11" s="421" t="s">
        <v>46</v>
      </c>
      <c r="AD11" s="226"/>
      <c r="AE11" s="226"/>
      <c r="AF11" s="226">
        <v>0.29166666666666669</v>
      </c>
      <c r="AG11" s="226">
        <v>0.41666666666666669</v>
      </c>
      <c r="AH11" s="226"/>
      <c r="AI11" s="366"/>
      <c r="AJ11" s="235"/>
    </row>
    <row r="12" spans="1:64" ht="18" customHeight="1" x14ac:dyDescent="0.3">
      <c r="A12" s="62" t="s">
        <v>9</v>
      </c>
      <c r="B12" s="63">
        <v>10</v>
      </c>
      <c r="C12" s="183" t="s">
        <v>104</v>
      </c>
      <c r="D12" s="174"/>
      <c r="E12" s="429" t="s">
        <v>55</v>
      </c>
      <c r="F12" s="175" t="s">
        <v>55</v>
      </c>
      <c r="G12" s="103">
        <v>0.39583333333333331</v>
      </c>
      <c r="H12" s="103">
        <v>0.8125</v>
      </c>
      <c r="I12" s="113">
        <f t="shared" si="5"/>
        <v>0.41666666666666669</v>
      </c>
      <c r="J12" s="115" t="s">
        <v>52</v>
      </c>
      <c r="K12" s="103">
        <v>0.58333333333333337</v>
      </c>
      <c r="L12" s="140">
        <v>0.875</v>
      </c>
      <c r="M12" s="113">
        <f t="shared" si="3"/>
        <v>0.29166666666666663</v>
      </c>
      <c r="N12" s="491" t="s">
        <v>49</v>
      </c>
      <c r="O12" s="103">
        <v>0.6875</v>
      </c>
      <c r="P12" s="103">
        <v>0.91666666666666663</v>
      </c>
      <c r="Q12" s="157">
        <f t="shared" ref="Q12:Q15" si="6">P12-O12</f>
        <v>0.22916666666666663</v>
      </c>
      <c r="R12" s="161"/>
      <c r="S12" s="162" t="s">
        <v>51</v>
      </c>
      <c r="T12" s="206"/>
      <c r="U12" s="103">
        <v>0.875</v>
      </c>
      <c r="V12" s="103">
        <v>0.39583333333333331</v>
      </c>
      <c r="W12" s="104">
        <v>0.41666666666666669</v>
      </c>
      <c r="X12" s="536"/>
      <c r="Y12" s="221">
        <v>0.125</v>
      </c>
      <c r="Z12" s="219">
        <v>0.22916666666666666</v>
      </c>
      <c r="AA12" s="219">
        <v>0.125</v>
      </c>
      <c r="AB12" s="219">
        <v>0.41666666666666669</v>
      </c>
      <c r="AC12" s="219">
        <v>0.41666666666666669</v>
      </c>
      <c r="AD12" s="219"/>
      <c r="AE12" s="219">
        <v>0.125</v>
      </c>
      <c r="AF12" s="219">
        <v>0.41666666666666669</v>
      </c>
      <c r="AG12" s="219">
        <v>0.125</v>
      </c>
      <c r="AH12" s="219"/>
      <c r="AI12" s="367"/>
      <c r="AJ12" s="192"/>
    </row>
    <row r="13" spans="1:64" ht="18" customHeight="1" x14ac:dyDescent="0.3">
      <c r="A13" s="60" t="s">
        <v>10</v>
      </c>
      <c r="B13" s="61">
        <v>11</v>
      </c>
      <c r="C13" s="183" t="s">
        <v>98</v>
      </c>
      <c r="D13" s="174"/>
      <c r="E13" s="429" t="s">
        <v>48</v>
      </c>
      <c r="F13" s="199"/>
      <c r="G13" s="103"/>
      <c r="H13" s="103"/>
      <c r="I13" s="113">
        <f t="shared" si="5"/>
        <v>0</v>
      </c>
      <c r="J13" s="115" t="s">
        <v>88</v>
      </c>
      <c r="K13" s="105">
        <v>0.58333333333333337</v>
      </c>
      <c r="L13" s="141">
        <v>0.875</v>
      </c>
      <c r="M13" s="113">
        <f t="shared" si="3"/>
        <v>0.29166666666666663</v>
      </c>
      <c r="N13" s="492" t="s">
        <v>52</v>
      </c>
      <c r="O13" s="103">
        <v>0.6875</v>
      </c>
      <c r="P13" s="103">
        <v>0.91666666666666663</v>
      </c>
      <c r="Q13" s="157">
        <f t="shared" si="6"/>
        <v>0.22916666666666663</v>
      </c>
      <c r="R13" s="161"/>
      <c r="S13" s="163" t="s">
        <v>56</v>
      </c>
      <c r="T13" s="206"/>
      <c r="U13" s="105">
        <v>0.875</v>
      </c>
      <c r="V13" s="105">
        <v>0.39583333333333331</v>
      </c>
      <c r="W13" s="106">
        <v>0.41666666666666669</v>
      </c>
      <c r="X13" s="536"/>
      <c r="Y13" s="221">
        <v>0.22916666666666666</v>
      </c>
      <c r="Z13" s="219"/>
      <c r="AA13" s="219"/>
      <c r="AB13" s="219"/>
      <c r="AC13" s="219">
        <v>0.22916666666666666</v>
      </c>
      <c r="AD13" s="219"/>
      <c r="AE13" s="219"/>
      <c r="AF13" s="219"/>
      <c r="AG13" s="219">
        <v>0.29166666666666669</v>
      </c>
      <c r="AH13" s="219"/>
      <c r="AI13" s="367">
        <v>0.41666666666666669</v>
      </c>
      <c r="AJ13" s="192"/>
    </row>
    <row r="14" spans="1:64" ht="20.9" customHeight="1" x14ac:dyDescent="0.3">
      <c r="A14" s="62" t="s">
        <v>11</v>
      </c>
      <c r="B14" s="63">
        <v>12</v>
      </c>
      <c r="C14" s="200" t="s">
        <v>41</v>
      </c>
      <c r="D14" s="174" t="s">
        <v>55</v>
      </c>
      <c r="E14" s="229" t="s">
        <v>88</v>
      </c>
      <c r="F14" s="199" t="s">
        <v>25</v>
      </c>
      <c r="G14" s="103">
        <v>0.5625</v>
      </c>
      <c r="H14" s="103">
        <v>0.875</v>
      </c>
      <c r="I14" s="113">
        <f t="shared" si="5"/>
        <v>0.3125</v>
      </c>
      <c r="J14" s="114" t="s">
        <v>50</v>
      </c>
      <c r="K14" s="103">
        <v>0.58333333333333337</v>
      </c>
      <c r="L14" s="140">
        <v>0.875</v>
      </c>
      <c r="M14" s="113">
        <f>L14-K14</f>
        <v>0.29166666666666663</v>
      </c>
      <c r="N14" s="114" t="s">
        <v>54</v>
      </c>
      <c r="O14" s="103">
        <v>0.6875</v>
      </c>
      <c r="P14" s="103">
        <v>0.89583333333333337</v>
      </c>
      <c r="Q14" s="157">
        <f t="shared" si="6"/>
        <v>0.20833333333333337</v>
      </c>
      <c r="R14" s="161"/>
      <c r="S14" s="162" t="s">
        <v>52</v>
      </c>
      <c r="T14" s="206"/>
      <c r="U14" s="103">
        <v>0.875</v>
      </c>
      <c r="V14" s="103">
        <v>0.39583333333333331</v>
      </c>
      <c r="W14" s="104">
        <v>0.41666666666666669</v>
      </c>
      <c r="X14" s="536"/>
      <c r="Y14" s="221"/>
      <c r="Z14" s="219">
        <v>0.22916666666666666</v>
      </c>
      <c r="AA14" s="219"/>
      <c r="AB14" s="219">
        <v>0.29166666666666669</v>
      </c>
      <c r="AC14" s="219"/>
      <c r="AD14" s="219"/>
      <c r="AE14" s="219">
        <v>0.22916666666666666</v>
      </c>
      <c r="AF14" s="354"/>
      <c r="AG14" s="219">
        <v>0.22916666666666666</v>
      </c>
      <c r="AH14" s="219"/>
      <c r="AI14" s="367"/>
      <c r="AJ14" s="192"/>
    </row>
    <row r="15" spans="1:64" ht="18" customHeight="1" thickBot="1" x14ac:dyDescent="0.35">
      <c r="A15" s="58" t="s">
        <v>12</v>
      </c>
      <c r="B15" s="59">
        <v>13</v>
      </c>
      <c r="C15" s="184"/>
      <c r="D15" s="176" t="s">
        <v>64</v>
      </c>
      <c r="E15" s="204"/>
      <c r="F15" s="177"/>
      <c r="G15" s="103"/>
      <c r="H15" s="103"/>
      <c r="I15" s="178">
        <f t="shared" si="5"/>
        <v>0</v>
      </c>
      <c r="J15" s="107" t="s">
        <v>49</v>
      </c>
      <c r="K15" s="108">
        <v>0.58333333333333337</v>
      </c>
      <c r="L15" s="109">
        <v>0.83333333333333337</v>
      </c>
      <c r="M15" s="142">
        <f>L15-K15</f>
        <v>0.25</v>
      </c>
      <c r="N15" s="164"/>
      <c r="O15" s="165"/>
      <c r="P15" s="165"/>
      <c r="Q15" s="166">
        <f t="shared" si="6"/>
        <v>0</v>
      </c>
      <c r="R15" s="167"/>
      <c r="S15" s="168" t="s">
        <v>26</v>
      </c>
      <c r="T15" s="206"/>
      <c r="U15" s="108">
        <v>0.79166666666666663</v>
      </c>
      <c r="V15" s="108">
        <v>0.45833333333333331</v>
      </c>
      <c r="W15" s="110">
        <v>0.47916666666666669</v>
      </c>
      <c r="X15" s="536"/>
      <c r="Y15" s="222"/>
      <c r="Z15" s="223"/>
      <c r="AA15" s="223"/>
      <c r="AB15" s="355">
        <v>0.31666666666666665</v>
      </c>
      <c r="AC15" s="223">
        <v>0.25</v>
      </c>
      <c r="AD15" s="223"/>
      <c r="AE15" s="223"/>
      <c r="AF15" s="355"/>
      <c r="AG15" s="223"/>
      <c r="AH15" s="223">
        <v>0.47916666666666669</v>
      </c>
      <c r="AI15" s="368"/>
      <c r="AJ15" s="236"/>
    </row>
    <row r="16" spans="1:64" ht="18" customHeight="1" x14ac:dyDescent="0.3">
      <c r="A16" s="45" t="s">
        <v>13</v>
      </c>
      <c r="B16" s="42">
        <v>14</v>
      </c>
      <c r="C16" s="185"/>
      <c r="D16" s="81" t="s">
        <v>65</v>
      </c>
      <c r="E16" s="83"/>
      <c r="F16" s="85"/>
      <c r="G16" s="86"/>
      <c r="H16" s="86"/>
      <c r="I16" s="87">
        <f t="shared" si="5"/>
        <v>0</v>
      </c>
      <c r="J16" s="88" t="s">
        <v>88</v>
      </c>
      <c r="K16" s="86">
        <v>0.4375</v>
      </c>
      <c r="L16" s="89">
        <v>0.83333333333333337</v>
      </c>
      <c r="M16" s="87">
        <f t="shared" ref="M16:M20" si="7">L16-K16</f>
        <v>0.39583333333333337</v>
      </c>
      <c r="N16" s="88"/>
      <c r="O16" s="86"/>
      <c r="P16" s="89"/>
      <c r="Q16" s="87">
        <f t="shared" ref="Q16:Q17" si="8">P16-O16</f>
        <v>0</v>
      </c>
      <c r="R16" s="111"/>
      <c r="S16" s="90" t="s">
        <v>49</v>
      </c>
      <c r="T16" s="546" t="s">
        <v>47</v>
      </c>
      <c r="U16" s="91">
        <v>0.79166666666666663</v>
      </c>
      <c r="V16" s="91">
        <v>0.45833333333333331</v>
      </c>
      <c r="W16" s="92">
        <v>0.47916666666666669</v>
      </c>
      <c r="X16" s="530"/>
      <c r="Y16" s="238"/>
      <c r="Z16" s="232">
        <v>0.47916666666666669</v>
      </c>
      <c r="AA16" s="232"/>
      <c r="AB16" s="356"/>
      <c r="AC16" s="232"/>
      <c r="AD16" s="356"/>
      <c r="AE16" s="232"/>
      <c r="AF16" s="356"/>
      <c r="AG16" s="232">
        <v>0.39583333333333331</v>
      </c>
      <c r="AH16" s="232"/>
      <c r="AI16" s="369"/>
      <c r="AJ16" s="233"/>
    </row>
    <row r="17" spans="1:41" ht="18" customHeight="1" thickBot="1" x14ac:dyDescent="0.35">
      <c r="A17" s="43" t="s">
        <v>14</v>
      </c>
      <c r="B17" s="46">
        <v>15</v>
      </c>
      <c r="C17" s="186"/>
      <c r="D17" s="82" t="s">
        <v>65</v>
      </c>
      <c r="E17" s="84"/>
      <c r="F17" s="112"/>
      <c r="G17" s="94"/>
      <c r="H17" s="94"/>
      <c r="I17" s="99">
        <f t="shared" si="5"/>
        <v>0</v>
      </c>
      <c r="J17" s="96" t="s">
        <v>26</v>
      </c>
      <c r="K17" s="97">
        <v>0.4375</v>
      </c>
      <c r="L17" s="98">
        <v>0.83333333333333337</v>
      </c>
      <c r="M17" s="99">
        <f t="shared" si="7"/>
        <v>0.39583333333333337</v>
      </c>
      <c r="N17" s="96"/>
      <c r="O17" s="97"/>
      <c r="P17" s="98"/>
      <c r="Q17" s="99">
        <f t="shared" si="8"/>
        <v>0</v>
      </c>
      <c r="R17" s="179"/>
      <c r="S17" s="100" t="s">
        <v>88</v>
      </c>
      <c r="T17" s="547"/>
      <c r="U17" s="101">
        <v>0.79166666666666663</v>
      </c>
      <c r="V17" s="101">
        <v>0.45833333333333331</v>
      </c>
      <c r="W17" s="102">
        <v>0.5</v>
      </c>
      <c r="X17" s="537"/>
      <c r="Y17" s="143"/>
      <c r="Z17" s="51"/>
      <c r="AA17" s="230"/>
      <c r="AB17" s="355"/>
      <c r="AC17" s="51"/>
      <c r="AD17" s="355"/>
      <c r="AE17" s="51"/>
      <c r="AF17" s="355"/>
      <c r="AG17" s="51">
        <v>0.52083333333333337</v>
      </c>
      <c r="AH17" s="51">
        <v>0.39583333333333331</v>
      </c>
      <c r="AI17" s="370"/>
      <c r="AJ17" s="52"/>
    </row>
    <row r="18" spans="1:41" ht="18" customHeight="1" x14ac:dyDescent="0.3">
      <c r="A18" s="301" t="s">
        <v>15</v>
      </c>
      <c r="B18" s="302">
        <v>16</v>
      </c>
      <c r="C18" s="303" t="s">
        <v>38</v>
      </c>
      <c r="D18" s="304" t="s">
        <v>66</v>
      </c>
      <c r="E18" s="305"/>
      <c r="F18" s="306"/>
      <c r="G18" s="307"/>
      <c r="H18" s="307"/>
      <c r="I18" s="308">
        <f t="shared" si="5"/>
        <v>0</v>
      </c>
      <c r="J18" s="309" t="s">
        <v>54</v>
      </c>
      <c r="K18" s="311">
        <v>0.4375</v>
      </c>
      <c r="L18" s="385">
        <v>0.8125</v>
      </c>
      <c r="M18" s="386">
        <f t="shared" si="7"/>
        <v>0.375</v>
      </c>
      <c r="N18" s="329"/>
      <c r="O18" s="311"/>
      <c r="P18" s="311"/>
      <c r="Q18" s="387">
        <f>P18-O18</f>
        <v>0</v>
      </c>
      <c r="R18" s="388"/>
      <c r="S18" s="389" t="s">
        <v>52</v>
      </c>
      <c r="T18" s="390"/>
      <c r="U18" s="311">
        <v>0.79166666666666663</v>
      </c>
      <c r="V18" s="311">
        <v>0.39583333333333331</v>
      </c>
      <c r="W18" s="391">
        <v>0.41666666666666669</v>
      </c>
      <c r="X18" s="531">
        <v>2</v>
      </c>
      <c r="Y18" s="435">
        <v>0.29166666666666669</v>
      </c>
      <c r="Z18" s="408"/>
      <c r="AA18" s="406"/>
      <c r="AB18" s="425">
        <v>0.31666666666666665</v>
      </c>
      <c r="AC18" s="407">
        <v>0.47916666666666669</v>
      </c>
      <c r="AD18" s="356">
        <v>0.15833333333333333</v>
      </c>
      <c r="AE18" s="407">
        <v>0.39583333333333331</v>
      </c>
      <c r="AF18" s="356"/>
      <c r="AG18" s="407"/>
      <c r="AH18" s="405"/>
      <c r="AI18" s="408"/>
      <c r="AJ18" s="409"/>
    </row>
    <row r="19" spans="1:41" ht="18" customHeight="1" x14ac:dyDescent="0.3">
      <c r="A19" s="317" t="s">
        <v>9</v>
      </c>
      <c r="B19" s="318">
        <v>17</v>
      </c>
      <c r="C19" s="319"/>
      <c r="D19" s="320" t="s">
        <v>66</v>
      </c>
      <c r="E19" s="321"/>
      <c r="F19" s="322" t="s">
        <v>25</v>
      </c>
      <c r="G19" s="307">
        <v>0.4375</v>
      </c>
      <c r="H19" s="307">
        <v>0.8125</v>
      </c>
      <c r="I19" s="323">
        <f t="shared" si="5"/>
        <v>0.375</v>
      </c>
      <c r="J19" s="324" t="s">
        <v>88</v>
      </c>
      <c r="K19" s="307">
        <v>0.4375</v>
      </c>
      <c r="L19" s="392">
        <v>0.8125</v>
      </c>
      <c r="M19" s="323">
        <f t="shared" si="7"/>
        <v>0.375</v>
      </c>
      <c r="N19" s="338"/>
      <c r="O19" s="307"/>
      <c r="P19" s="307"/>
      <c r="Q19" s="387">
        <f t="shared" ref="Q19:Q24" si="9">P19-O19</f>
        <v>0</v>
      </c>
      <c r="R19" s="393"/>
      <c r="S19" s="394" t="s">
        <v>49</v>
      </c>
      <c r="T19" s="395"/>
      <c r="U19" s="307">
        <v>0.79166666666666663</v>
      </c>
      <c r="V19" s="307">
        <v>0.39583333333333331</v>
      </c>
      <c r="W19" s="396">
        <v>0.41666666666666669</v>
      </c>
      <c r="X19" s="532"/>
      <c r="Y19" s="404"/>
      <c r="Z19" s="411">
        <v>0.47916666666666669</v>
      </c>
      <c r="AA19" s="407"/>
      <c r="AB19" s="425">
        <v>0.31666666666666665</v>
      </c>
      <c r="AC19" s="410"/>
      <c r="AD19" s="354">
        <v>0.15833333333333333</v>
      </c>
      <c r="AE19" s="410"/>
      <c r="AF19" s="354"/>
      <c r="AG19" s="410">
        <v>0.375</v>
      </c>
      <c r="AH19" s="410"/>
      <c r="AI19" s="411"/>
      <c r="AJ19" s="412"/>
    </row>
    <row r="20" spans="1:41" ht="18" customHeight="1" x14ac:dyDescent="0.3">
      <c r="A20" s="317" t="s">
        <v>10</v>
      </c>
      <c r="B20" s="318">
        <v>18</v>
      </c>
      <c r="C20" s="319"/>
      <c r="D20" s="320" t="s">
        <v>67</v>
      </c>
      <c r="E20" s="321"/>
      <c r="F20" s="331"/>
      <c r="G20" s="307"/>
      <c r="H20" s="307"/>
      <c r="I20" s="323">
        <f t="shared" si="5"/>
        <v>0</v>
      </c>
      <c r="J20" s="324" t="s">
        <v>52</v>
      </c>
      <c r="K20" s="397">
        <v>0.4375</v>
      </c>
      <c r="L20" s="398">
        <v>0.8125</v>
      </c>
      <c r="M20" s="323">
        <f t="shared" si="7"/>
        <v>0.375</v>
      </c>
      <c r="N20" s="324"/>
      <c r="O20" s="307"/>
      <c r="P20" s="307"/>
      <c r="Q20" s="387">
        <f t="shared" si="9"/>
        <v>0</v>
      </c>
      <c r="R20" s="393"/>
      <c r="S20" s="503" t="s">
        <v>88</v>
      </c>
      <c r="T20" s="395"/>
      <c r="U20" s="397">
        <v>0.79166666666666663</v>
      </c>
      <c r="V20" s="397">
        <v>0.39583333333333331</v>
      </c>
      <c r="W20" s="504">
        <v>0.41666666666666669</v>
      </c>
      <c r="X20" s="532"/>
      <c r="Y20" s="404"/>
      <c r="Z20" s="411"/>
      <c r="AA20" s="407"/>
      <c r="AB20" s="425">
        <v>0.31666666666666665</v>
      </c>
      <c r="AC20" s="410">
        <v>0.375</v>
      </c>
      <c r="AD20" s="354">
        <v>0.15833333333333333</v>
      </c>
      <c r="AE20" s="410"/>
      <c r="AF20" s="354"/>
      <c r="AG20" s="410">
        <v>0.41666666666666669</v>
      </c>
      <c r="AH20" s="354"/>
      <c r="AI20" s="411"/>
      <c r="AJ20" s="412"/>
    </row>
    <row r="21" spans="1:41" ht="18" customHeight="1" x14ac:dyDescent="0.3">
      <c r="A21" s="335" t="s">
        <v>11</v>
      </c>
      <c r="B21" s="336">
        <v>19</v>
      </c>
      <c r="C21" s="337"/>
      <c r="D21" s="320" t="s">
        <v>67</v>
      </c>
      <c r="E21" s="321"/>
      <c r="F21" s="331" t="s">
        <v>25</v>
      </c>
      <c r="G21" s="307">
        <v>0.4375</v>
      </c>
      <c r="H21" s="307">
        <v>0.8125</v>
      </c>
      <c r="I21" s="323">
        <f>H21-G21</f>
        <v>0.375</v>
      </c>
      <c r="J21" s="338" t="s">
        <v>49</v>
      </c>
      <c r="K21" s="307">
        <v>0.4375</v>
      </c>
      <c r="L21" s="392">
        <v>0.8125</v>
      </c>
      <c r="M21" s="323">
        <f>L21-K21</f>
        <v>0.375</v>
      </c>
      <c r="N21" s="338"/>
      <c r="O21" s="307"/>
      <c r="P21" s="307"/>
      <c r="Q21" s="387">
        <f t="shared" si="9"/>
        <v>0</v>
      </c>
      <c r="R21" s="393"/>
      <c r="S21" s="394" t="s">
        <v>56</v>
      </c>
      <c r="T21" s="395"/>
      <c r="U21" s="307">
        <v>0.79166666666666663</v>
      </c>
      <c r="V21" s="307">
        <v>0.39583333333333331</v>
      </c>
      <c r="W21" s="396">
        <v>0.41666666666666669</v>
      </c>
      <c r="X21" s="532"/>
      <c r="Y21" s="404"/>
      <c r="Z21" s="413">
        <v>0.375</v>
      </c>
      <c r="AA21" s="407"/>
      <c r="AB21" s="426">
        <v>0.31666666666666665</v>
      </c>
      <c r="AC21" s="407"/>
      <c r="AD21" s="356">
        <v>0.15833333333333333</v>
      </c>
      <c r="AE21" s="410"/>
      <c r="AF21" s="356"/>
      <c r="AG21" s="407"/>
      <c r="AH21" s="356"/>
      <c r="AI21" s="408">
        <v>0.45833333333333331</v>
      </c>
      <c r="AJ21" s="414"/>
    </row>
    <row r="22" spans="1:41" ht="18" customHeight="1" thickBot="1" x14ac:dyDescent="0.35">
      <c r="A22" s="301" t="s">
        <v>12</v>
      </c>
      <c r="B22" s="302">
        <v>20</v>
      </c>
      <c r="C22" s="340"/>
      <c r="D22" s="341" t="s">
        <v>59</v>
      </c>
      <c r="E22" s="342"/>
      <c r="F22" s="343" t="s">
        <v>55</v>
      </c>
      <c r="G22" s="307">
        <v>0.4375</v>
      </c>
      <c r="H22" s="307">
        <v>0.8125</v>
      </c>
      <c r="I22" s="344">
        <f t="shared" si="5"/>
        <v>0.375</v>
      </c>
      <c r="J22" s="345" t="s">
        <v>88</v>
      </c>
      <c r="K22" s="347">
        <v>0.4375</v>
      </c>
      <c r="L22" s="505">
        <v>0.8125</v>
      </c>
      <c r="M22" s="399">
        <f>L22-K22</f>
        <v>0.375</v>
      </c>
      <c r="N22" s="400"/>
      <c r="O22" s="334"/>
      <c r="P22" s="334"/>
      <c r="Q22" s="401">
        <f t="shared" si="9"/>
        <v>0</v>
      </c>
      <c r="R22" s="402"/>
      <c r="S22" s="403" t="s">
        <v>52</v>
      </c>
      <c r="T22" s="395"/>
      <c r="U22" s="347">
        <v>0.79166666666666663</v>
      </c>
      <c r="V22" s="347">
        <v>0.45833333333333331</v>
      </c>
      <c r="W22" s="316">
        <v>0.47916666666666669</v>
      </c>
      <c r="X22" s="532"/>
      <c r="Y22" s="415"/>
      <c r="Z22" s="424">
        <v>0.31666666666666665</v>
      </c>
      <c r="AA22" s="423"/>
      <c r="AB22" s="427">
        <v>0.31666666666666665</v>
      </c>
      <c r="AC22" s="416">
        <v>0.52083333333333337</v>
      </c>
      <c r="AD22" s="353">
        <v>0.15833333333333333</v>
      </c>
      <c r="AE22" s="416"/>
      <c r="AF22" s="416">
        <v>0.375</v>
      </c>
      <c r="AG22" s="416">
        <v>0.375</v>
      </c>
      <c r="AH22" s="424"/>
      <c r="AI22" s="423"/>
      <c r="AJ22" s="417"/>
    </row>
    <row r="23" spans="1:41" ht="18" customHeight="1" x14ac:dyDescent="0.3">
      <c r="A23" s="45" t="s">
        <v>13</v>
      </c>
      <c r="B23" s="42">
        <v>21</v>
      </c>
      <c r="C23" s="185"/>
      <c r="D23" s="81" t="s">
        <v>91</v>
      </c>
      <c r="E23" s="83"/>
      <c r="F23" s="85" t="s">
        <v>25</v>
      </c>
      <c r="G23" s="86">
        <v>0.4375</v>
      </c>
      <c r="H23" s="86">
        <v>0.8125</v>
      </c>
      <c r="I23" s="87">
        <f>H23-G23</f>
        <v>0.375</v>
      </c>
      <c r="J23" s="88" t="s">
        <v>54</v>
      </c>
      <c r="K23" s="86">
        <v>0.4375</v>
      </c>
      <c r="L23" s="89">
        <v>0.83333333333333337</v>
      </c>
      <c r="M23" s="87">
        <f t="shared" ref="M23:M27" si="10">L23-K23</f>
        <v>0.39583333333333337</v>
      </c>
      <c r="N23" s="88"/>
      <c r="O23" s="86"/>
      <c r="P23" s="89"/>
      <c r="Q23" s="87">
        <f t="shared" si="9"/>
        <v>0</v>
      </c>
      <c r="R23" s="111"/>
      <c r="S23" s="90" t="s">
        <v>48</v>
      </c>
      <c r="T23" s="546" t="s">
        <v>61</v>
      </c>
      <c r="U23" s="91">
        <v>0.79166666666666663</v>
      </c>
      <c r="V23" s="91">
        <v>0.45833333333333331</v>
      </c>
      <c r="W23" s="92">
        <v>0.47916666666666669</v>
      </c>
      <c r="X23" s="532"/>
      <c r="Y23" s="116">
        <v>0.47916666666666669</v>
      </c>
      <c r="Z23" s="352"/>
      <c r="AA23" s="433"/>
      <c r="AB23" s="352"/>
      <c r="AC23" s="49"/>
      <c r="AD23" s="49"/>
      <c r="AE23" s="49">
        <v>0.39583333333333331</v>
      </c>
      <c r="AF23" s="49"/>
      <c r="AG23" s="49"/>
      <c r="AH23" s="352"/>
      <c r="AI23" s="369"/>
      <c r="AJ23" s="50"/>
    </row>
    <row r="24" spans="1:41" ht="18" customHeight="1" thickBot="1" x14ac:dyDescent="0.35">
      <c r="A24" s="64" t="s">
        <v>14</v>
      </c>
      <c r="B24" s="65">
        <v>22</v>
      </c>
      <c r="C24" s="186"/>
      <c r="D24" s="82" t="s">
        <v>91</v>
      </c>
      <c r="E24" s="84"/>
      <c r="F24" s="93"/>
      <c r="G24" s="94"/>
      <c r="H24" s="94"/>
      <c r="I24" s="95">
        <v>0.33333333333333331</v>
      </c>
      <c r="J24" s="96" t="s">
        <v>52</v>
      </c>
      <c r="K24" s="97">
        <v>0.4375</v>
      </c>
      <c r="L24" s="98">
        <v>0.83333333333333337</v>
      </c>
      <c r="M24" s="99">
        <f t="shared" si="10"/>
        <v>0.39583333333333337</v>
      </c>
      <c r="N24" s="96"/>
      <c r="O24" s="97"/>
      <c r="P24" s="98"/>
      <c r="Q24" s="99">
        <f t="shared" si="9"/>
        <v>0</v>
      </c>
      <c r="R24" s="179"/>
      <c r="S24" s="100" t="s">
        <v>50</v>
      </c>
      <c r="T24" s="547"/>
      <c r="U24" s="101">
        <v>0.79166666666666663</v>
      </c>
      <c r="V24" s="101">
        <v>0.39583333333333331</v>
      </c>
      <c r="W24" s="102">
        <v>0.5</v>
      </c>
      <c r="X24" s="532"/>
      <c r="Y24" s="143"/>
      <c r="Z24" s="355"/>
      <c r="AA24" s="430"/>
      <c r="AB24" s="355"/>
      <c r="AC24" s="51">
        <v>0.39583333333333331</v>
      </c>
      <c r="AD24" s="51"/>
      <c r="AE24" s="51">
        <v>0.5</v>
      </c>
      <c r="AF24" s="51">
        <v>0.33333333333333331</v>
      </c>
      <c r="AG24" s="51"/>
      <c r="AH24" s="355"/>
      <c r="AI24" s="370"/>
      <c r="AJ24" s="52"/>
    </row>
    <row r="25" spans="1:41" ht="18" customHeight="1" x14ac:dyDescent="0.3">
      <c r="A25" s="169" t="s">
        <v>15</v>
      </c>
      <c r="B25" s="170">
        <v>23</v>
      </c>
      <c r="C25" s="182" t="s">
        <v>57</v>
      </c>
      <c r="D25" s="171" t="s">
        <v>92</v>
      </c>
      <c r="E25" s="198"/>
      <c r="F25" s="172" t="s">
        <v>25</v>
      </c>
      <c r="G25" s="153">
        <v>0.5</v>
      </c>
      <c r="H25" s="153">
        <v>0.875</v>
      </c>
      <c r="I25" s="173"/>
      <c r="J25" s="152" t="s">
        <v>54</v>
      </c>
      <c r="K25" s="153">
        <v>0.58333333333333337</v>
      </c>
      <c r="L25" s="154">
        <v>0.875</v>
      </c>
      <c r="M25" s="155">
        <f t="shared" si="10"/>
        <v>0.29166666666666663</v>
      </c>
      <c r="N25" s="156"/>
      <c r="O25" s="153">
        <v>0.58333333333333337</v>
      </c>
      <c r="P25" s="153">
        <v>0.875</v>
      </c>
      <c r="Q25" s="157">
        <f>P25-O25</f>
        <v>0.29166666666666663</v>
      </c>
      <c r="R25" s="158"/>
      <c r="S25" s="159" t="s">
        <v>51</v>
      </c>
      <c r="T25" s="207"/>
      <c r="U25" s="153">
        <v>0.875</v>
      </c>
      <c r="V25" s="153">
        <v>0.39583333333333331</v>
      </c>
      <c r="W25" s="160">
        <v>0.41666666666666669</v>
      </c>
      <c r="X25" s="529">
        <v>3</v>
      </c>
      <c r="Y25" s="435">
        <v>0.29166666666666669</v>
      </c>
      <c r="Z25" s="419">
        <v>0.31666666666666665</v>
      </c>
      <c r="AA25" s="220"/>
      <c r="AB25" s="220">
        <v>0.41666666666666669</v>
      </c>
      <c r="AC25" s="220"/>
      <c r="AD25" s="220"/>
      <c r="AE25" s="220"/>
      <c r="AF25" s="220">
        <v>0.29166666666666669</v>
      </c>
      <c r="AG25" s="220">
        <v>0.31666666666666665</v>
      </c>
      <c r="AH25" s="225"/>
      <c r="AI25" s="371"/>
      <c r="AJ25" s="193"/>
    </row>
    <row r="26" spans="1:41" ht="18" customHeight="1" x14ac:dyDescent="0.3">
      <c r="A26" s="62" t="s">
        <v>9</v>
      </c>
      <c r="B26" s="63">
        <v>24</v>
      </c>
      <c r="C26" s="183" t="s">
        <v>105</v>
      </c>
      <c r="D26" s="174" t="s">
        <v>88</v>
      </c>
      <c r="E26" s="229"/>
      <c r="F26" s="175" t="s">
        <v>25</v>
      </c>
      <c r="G26" s="103">
        <v>0.58333333333333337</v>
      </c>
      <c r="H26" s="103">
        <v>0.875</v>
      </c>
      <c r="I26" s="113">
        <f t="shared" ref="I26:I31" si="11">H26-G26</f>
        <v>0.29166666666666663</v>
      </c>
      <c r="J26" s="115" t="s">
        <v>52</v>
      </c>
      <c r="K26" s="103">
        <v>0.58333333333333337</v>
      </c>
      <c r="L26" s="140">
        <v>0.875</v>
      </c>
      <c r="M26" s="113">
        <f t="shared" si="10"/>
        <v>0.29166666666666663</v>
      </c>
      <c r="N26" s="114" t="s">
        <v>54</v>
      </c>
      <c r="O26" s="103">
        <v>0.6875</v>
      </c>
      <c r="P26" s="103">
        <v>0.91666666666666663</v>
      </c>
      <c r="Q26" s="157">
        <f t="shared" ref="Q26:Q29" si="12">P26-O26</f>
        <v>0.22916666666666663</v>
      </c>
      <c r="R26" s="161"/>
      <c r="S26" s="497" t="s">
        <v>106</v>
      </c>
      <c r="T26" s="206"/>
      <c r="U26" s="103">
        <v>0.875</v>
      </c>
      <c r="V26" s="103">
        <v>0.39583333333333331</v>
      </c>
      <c r="W26" s="104">
        <v>0.41666666666666669</v>
      </c>
      <c r="X26" s="530"/>
      <c r="Y26" s="218">
        <v>0.125</v>
      </c>
      <c r="Z26" s="219">
        <v>0.125</v>
      </c>
      <c r="AA26" s="219"/>
      <c r="AB26" s="219">
        <v>0.125</v>
      </c>
      <c r="AC26" s="219">
        <v>0.41666666666666669</v>
      </c>
      <c r="AD26" s="219">
        <v>0.125</v>
      </c>
      <c r="AE26" s="219">
        <v>0.35416666666666669</v>
      </c>
      <c r="AF26" s="219">
        <v>0.125</v>
      </c>
      <c r="AG26" s="219">
        <v>0.31666666666666665</v>
      </c>
      <c r="AH26" s="219"/>
      <c r="AI26" s="367"/>
      <c r="AJ26" s="192"/>
    </row>
    <row r="27" spans="1:41" ht="18" customHeight="1" x14ac:dyDescent="0.3">
      <c r="A27" s="60" t="s">
        <v>10</v>
      </c>
      <c r="B27" s="61">
        <v>25</v>
      </c>
      <c r="C27" s="183"/>
      <c r="D27" s="174" t="s">
        <v>88</v>
      </c>
      <c r="E27" s="429" t="s">
        <v>49</v>
      </c>
      <c r="F27" s="199"/>
      <c r="G27" s="103"/>
      <c r="H27" s="103"/>
      <c r="I27" s="113">
        <f t="shared" si="11"/>
        <v>0</v>
      </c>
      <c r="J27" s="115" t="s">
        <v>52</v>
      </c>
      <c r="K27" s="105">
        <v>0.58333333333333337</v>
      </c>
      <c r="L27" s="141">
        <v>0.91666666666666663</v>
      </c>
      <c r="M27" s="113">
        <f t="shared" si="10"/>
        <v>0.33333333333333326</v>
      </c>
      <c r="N27" s="115" t="s">
        <v>55</v>
      </c>
      <c r="O27" s="103">
        <v>0.58333333333333337</v>
      </c>
      <c r="P27" s="103">
        <v>0.875</v>
      </c>
      <c r="Q27" s="157">
        <f t="shared" si="12"/>
        <v>0.29166666666666663</v>
      </c>
      <c r="R27" s="161"/>
      <c r="S27" s="163" t="s">
        <v>56</v>
      </c>
      <c r="T27" s="206"/>
      <c r="U27" s="105">
        <v>0.875</v>
      </c>
      <c r="V27" s="105">
        <v>0.39583333333333331</v>
      </c>
      <c r="W27" s="106">
        <v>0.41666666666666669</v>
      </c>
      <c r="X27" s="530"/>
      <c r="Y27" s="218"/>
      <c r="Z27" s="219">
        <v>0.22916666666666666</v>
      </c>
      <c r="AA27" s="219"/>
      <c r="AB27" s="219"/>
      <c r="AC27" s="219">
        <v>0.33333333333333331</v>
      </c>
      <c r="AD27" s="219"/>
      <c r="AE27" s="219"/>
      <c r="AF27" s="219">
        <v>0.29166666666666669</v>
      </c>
      <c r="AG27" s="219">
        <v>0.31666666666666665</v>
      </c>
      <c r="AH27" s="219"/>
      <c r="AI27" s="367">
        <v>0.41666666666666669</v>
      </c>
      <c r="AJ27" s="192"/>
    </row>
    <row r="28" spans="1:41" ht="18" customHeight="1" x14ac:dyDescent="0.3">
      <c r="A28" s="62" t="s">
        <v>11</v>
      </c>
      <c r="B28" s="63">
        <v>26</v>
      </c>
      <c r="C28" s="201"/>
      <c r="D28" s="174" t="s">
        <v>88</v>
      </c>
      <c r="E28" s="429" t="s">
        <v>52</v>
      </c>
      <c r="F28" s="199" t="s">
        <v>25</v>
      </c>
      <c r="G28" s="103">
        <v>0.5</v>
      </c>
      <c r="H28" s="103">
        <v>0.875</v>
      </c>
      <c r="I28" s="113">
        <f t="shared" si="11"/>
        <v>0.375</v>
      </c>
      <c r="J28" s="114" t="s">
        <v>50</v>
      </c>
      <c r="K28" s="103">
        <v>0.58333333333333337</v>
      </c>
      <c r="L28" s="140">
        <v>0.875</v>
      </c>
      <c r="M28" s="113">
        <f>L28-K28</f>
        <v>0.29166666666666663</v>
      </c>
      <c r="N28" s="114" t="s">
        <v>51</v>
      </c>
      <c r="O28" s="103">
        <v>0.6875</v>
      </c>
      <c r="P28" s="103">
        <v>0.91666666666666663</v>
      </c>
      <c r="Q28" s="157">
        <f t="shared" si="12"/>
        <v>0.22916666666666663</v>
      </c>
      <c r="R28" s="161"/>
      <c r="S28" s="162" t="s">
        <v>49</v>
      </c>
      <c r="T28" s="206"/>
      <c r="U28" s="103">
        <v>0.875</v>
      </c>
      <c r="V28" s="103">
        <v>0.39583333333333331</v>
      </c>
      <c r="W28" s="104">
        <v>0.41666666666666669</v>
      </c>
      <c r="X28" s="530"/>
      <c r="Y28" s="218"/>
      <c r="Z28" s="220">
        <v>0.41666666666666669</v>
      </c>
      <c r="AA28" s="220"/>
      <c r="AB28" s="220">
        <v>0.22916666666666666</v>
      </c>
      <c r="AC28" s="220">
        <v>0.22916666666666666</v>
      </c>
      <c r="AD28" s="220"/>
      <c r="AE28" s="219"/>
      <c r="AF28" s="220"/>
      <c r="AG28" s="220">
        <v>0.31666666666666665</v>
      </c>
      <c r="AH28" s="220"/>
      <c r="AI28" s="371"/>
      <c r="AJ28" s="191"/>
    </row>
    <row r="29" spans="1:41" ht="18" customHeight="1" thickBot="1" x14ac:dyDescent="0.35">
      <c r="A29" s="58" t="s">
        <v>12</v>
      </c>
      <c r="B29" s="59">
        <v>27</v>
      </c>
      <c r="C29" s="184"/>
      <c r="D29" s="176" t="s">
        <v>93</v>
      </c>
      <c r="E29" s="204"/>
      <c r="F29" s="177"/>
      <c r="G29" s="103"/>
      <c r="H29" s="103"/>
      <c r="I29" s="178">
        <f t="shared" si="11"/>
        <v>0</v>
      </c>
      <c r="J29" s="493" t="s">
        <v>48</v>
      </c>
      <c r="K29" s="108">
        <v>0.58333333333333337</v>
      </c>
      <c r="L29" s="109">
        <v>0.83333333333333337</v>
      </c>
      <c r="M29" s="142">
        <f>L29-K29</f>
        <v>0.25</v>
      </c>
      <c r="N29" s="164" t="s">
        <v>55</v>
      </c>
      <c r="O29" s="165">
        <v>0.58333333333333337</v>
      </c>
      <c r="P29" s="165">
        <v>0.83333333333333337</v>
      </c>
      <c r="Q29" s="166">
        <f t="shared" si="12"/>
        <v>0.25</v>
      </c>
      <c r="R29" s="167"/>
      <c r="S29" s="168" t="s">
        <v>51</v>
      </c>
      <c r="T29" s="206"/>
      <c r="U29" s="108">
        <v>0.79166666666666663</v>
      </c>
      <c r="V29" s="108">
        <v>0.45833333333333331</v>
      </c>
      <c r="W29" s="110">
        <v>0.47916666666666669</v>
      </c>
      <c r="X29" s="530"/>
      <c r="Y29" s="227">
        <v>0.25</v>
      </c>
      <c r="Z29" s="225"/>
      <c r="AA29" s="228"/>
      <c r="AB29" s="228">
        <v>0.47916666666666669</v>
      </c>
      <c r="AC29" s="353">
        <v>0.25347222222222221</v>
      </c>
      <c r="AD29" s="228"/>
      <c r="AE29" s="228"/>
      <c r="AF29" s="228">
        <v>0.25</v>
      </c>
      <c r="AG29" s="228">
        <v>0.31666666666666665</v>
      </c>
      <c r="AH29" s="371"/>
      <c r="AI29" s="223"/>
      <c r="AJ29" s="194"/>
    </row>
    <row r="30" spans="1:41" ht="18" customHeight="1" x14ac:dyDescent="0.3">
      <c r="A30" s="45" t="s">
        <v>13</v>
      </c>
      <c r="B30" s="42">
        <v>28</v>
      </c>
      <c r="C30" s="185"/>
      <c r="D30" s="81" t="s">
        <v>93</v>
      </c>
      <c r="E30" s="83"/>
      <c r="F30" s="85"/>
      <c r="G30" s="86"/>
      <c r="H30" s="86"/>
      <c r="I30" s="87">
        <f t="shared" si="11"/>
        <v>0</v>
      </c>
      <c r="J30" s="88" t="s">
        <v>55</v>
      </c>
      <c r="K30" s="86">
        <v>0.4375</v>
      </c>
      <c r="L30" s="89">
        <v>0.83333333333333337</v>
      </c>
      <c r="M30" s="87">
        <f t="shared" ref="M30:M31" si="13">L30-K30</f>
        <v>0.39583333333333337</v>
      </c>
      <c r="N30" s="88"/>
      <c r="O30" s="86"/>
      <c r="P30" s="89"/>
      <c r="Q30" s="87">
        <f t="shared" ref="Q30:Q31" si="14">P30-O30</f>
        <v>0</v>
      </c>
      <c r="R30" s="215"/>
      <c r="S30" s="90" t="s">
        <v>53</v>
      </c>
      <c r="T30" s="544" t="s">
        <v>87</v>
      </c>
      <c r="U30" s="91">
        <v>0.79166666666666663</v>
      </c>
      <c r="V30" s="91">
        <v>0.45833333333333331</v>
      </c>
      <c r="W30" s="92">
        <v>0.47916666666666669</v>
      </c>
      <c r="X30" s="530"/>
      <c r="Y30" s="116"/>
      <c r="Z30" s="49">
        <v>0.39583333333333331</v>
      </c>
      <c r="AA30" s="49"/>
      <c r="AB30" s="49"/>
      <c r="AC30" s="352"/>
      <c r="AD30" s="49">
        <v>0.47916666666666669</v>
      </c>
      <c r="AE30" s="49"/>
      <c r="AF30" s="49"/>
      <c r="AG30" s="49"/>
      <c r="AH30" s="49"/>
      <c r="AI30" s="369"/>
      <c r="AJ30" s="50"/>
      <c r="AK30" s="148"/>
      <c r="AL30" s="148"/>
      <c r="AM30" s="148"/>
      <c r="AN30" s="148"/>
      <c r="AO30" s="148"/>
    </row>
    <row r="31" spans="1:41" ht="18" customHeight="1" thickBot="1" x14ac:dyDescent="0.35">
      <c r="A31" s="43" t="s">
        <v>14</v>
      </c>
      <c r="B31" s="46">
        <v>1</v>
      </c>
      <c r="C31" s="186"/>
      <c r="D31" s="82" t="s">
        <v>52</v>
      </c>
      <c r="E31" s="84"/>
      <c r="F31" s="112"/>
      <c r="G31" s="94"/>
      <c r="H31" s="94"/>
      <c r="I31" s="99">
        <f t="shared" si="11"/>
        <v>0</v>
      </c>
      <c r="J31" s="96" t="s">
        <v>51</v>
      </c>
      <c r="K31" s="97">
        <v>0.4375</v>
      </c>
      <c r="L31" s="98">
        <v>0.83333333333333337</v>
      </c>
      <c r="M31" s="99">
        <f t="shared" si="13"/>
        <v>0.39583333333333337</v>
      </c>
      <c r="N31" s="96"/>
      <c r="O31" s="97"/>
      <c r="P31" s="98"/>
      <c r="Q31" s="99">
        <f t="shared" si="14"/>
        <v>0</v>
      </c>
      <c r="R31" s="214"/>
      <c r="S31" s="100" t="s">
        <v>26</v>
      </c>
      <c r="T31" s="545"/>
      <c r="U31" s="101">
        <v>0.79166666666666663</v>
      </c>
      <c r="V31" s="101">
        <v>0.39583333333333331</v>
      </c>
      <c r="W31" s="102">
        <v>0.5</v>
      </c>
      <c r="X31" s="530"/>
      <c r="Y31" s="143"/>
      <c r="Z31" s="51"/>
      <c r="AA31" s="51"/>
      <c r="AB31" s="51">
        <v>0.39583333333333331</v>
      </c>
      <c r="AC31" s="355"/>
      <c r="AD31" s="51"/>
      <c r="AE31" s="51"/>
      <c r="AF31" s="51"/>
      <c r="AG31" s="51"/>
      <c r="AH31" s="51">
        <v>0.5</v>
      </c>
      <c r="AI31" s="370"/>
      <c r="AJ31" s="52"/>
      <c r="AK31" s="148"/>
      <c r="AL31" s="148"/>
      <c r="AM31" s="148"/>
      <c r="AN31" s="148"/>
      <c r="AO31" s="148"/>
    </row>
    <row r="32" spans="1:41" ht="28.25" customHeight="1" thickBot="1" x14ac:dyDescent="0.35">
      <c r="A32" s="210"/>
      <c r="B32" s="211"/>
      <c r="C32" s="211"/>
      <c r="D32" s="211"/>
      <c r="E32" s="211"/>
      <c r="F32" s="211"/>
      <c r="G32" s="211"/>
      <c r="H32" s="211"/>
      <c r="I32" s="211"/>
      <c r="J32" s="211"/>
      <c r="K32" s="211"/>
      <c r="L32" s="211"/>
      <c r="M32" s="211"/>
      <c r="N32" s="484"/>
      <c r="O32" s="211"/>
      <c r="P32" s="211"/>
      <c r="Q32" s="211"/>
      <c r="R32" s="211"/>
      <c r="S32" s="211"/>
      <c r="T32" s="208"/>
      <c r="U32" s="212"/>
      <c r="V32" s="212"/>
      <c r="W32" s="213" t="e">
        <f>SUM(#REF!)</f>
        <v>#REF!</v>
      </c>
      <c r="X32" s="187"/>
      <c r="Y32" s="209">
        <f t="shared" ref="Y32:AJ32" si="15">SUM(Y4:Y31)</f>
        <v>3.6666666666666661</v>
      </c>
      <c r="Z32" s="209">
        <f t="shared" si="15"/>
        <v>5.0083333333333337</v>
      </c>
      <c r="AA32" s="209">
        <f t="shared" si="15"/>
        <v>0.125</v>
      </c>
      <c r="AB32" s="209">
        <f t="shared" si="15"/>
        <v>5.6291666666666664</v>
      </c>
      <c r="AC32" s="209">
        <f t="shared" si="15"/>
        <v>4.6076388888888893</v>
      </c>
      <c r="AD32" s="209">
        <f t="shared" si="15"/>
        <v>1.5208333333333333</v>
      </c>
      <c r="AE32" s="209">
        <f t="shared" si="15"/>
        <v>2.9166666666666665</v>
      </c>
      <c r="AF32" s="209">
        <f t="shared" si="15"/>
        <v>3.4166666666666665</v>
      </c>
      <c r="AG32" s="209">
        <f t="shared" si="15"/>
        <v>5.6666666666666661</v>
      </c>
      <c r="AH32" s="209">
        <f t="shared" si="15"/>
        <v>2.25</v>
      </c>
      <c r="AI32" s="209">
        <f t="shared" ref="AI32" si="16">SUM(AI4:AI31)</f>
        <v>1.7083333333333335</v>
      </c>
      <c r="AJ32" s="209">
        <f t="shared" si="15"/>
        <v>0</v>
      </c>
      <c r="AK32" s="148"/>
      <c r="AL32" s="149"/>
      <c r="AM32" s="149"/>
      <c r="AN32" s="149"/>
      <c r="AO32" s="150"/>
    </row>
    <row r="33" spans="1:41" ht="47" customHeight="1" x14ac:dyDescent="0.3">
      <c r="A33" s="19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35"/>
      <c r="M33" s="35"/>
      <c r="N33" s="35"/>
      <c r="O33" s="35"/>
      <c r="P33" s="36"/>
      <c r="Q33" s="36"/>
      <c r="R33" s="36"/>
      <c r="S33" s="36"/>
      <c r="T33" s="37"/>
      <c r="U33" s="13"/>
      <c r="V33" s="14"/>
      <c r="W33" s="15"/>
      <c r="X33" s="134"/>
      <c r="Y33" s="145" t="s">
        <v>48</v>
      </c>
      <c r="Z33" s="217" t="s">
        <v>49</v>
      </c>
      <c r="AA33" s="146" t="s">
        <v>50</v>
      </c>
      <c r="AB33" s="146" t="s">
        <v>51</v>
      </c>
      <c r="AC33" s="146" t="s">
        <v>52</v>
      </c>
      <c r="AD33" s="146" t="s">
        <v>53</v>
      </c>
      <c r="AE33" s="146" t="s">
        <v>54</v>
      </c>
      <c r="AF33" s="146" t="s">
        <v>55</v>
      </c>
      <c r="AG33" s="146" t="s">
        <v>88</v>
      </c>
      <c r="AH33" s="146" t="s">
        <v>26</v>
      </c>
      <c r="AI33" s="146" t="s">
        <v>56</v>
      </c>
      <c r="AJ33" s="147" t="s">
        <v>37</v>
      </c>
      <c r="AK33" s="148"/>
      <c r="AL33" s="149"/>
      <c r="AM33" s="149"/>
      <c r="AN33" s="149"/>
      <c r="AO33" s="148"/>
    </row>
    <row r="34" spans="1:41" ht="16.5" customHeight="1" x14ac:dyDescent="0.3">
      <c r="A34" s="20"/>
      <c r="B34" s="71"/>
      <c r="C34" s="71"/>
      <c r="D34" s="71"/>
      <c r="E34" s="71"/>
      <c r="F34" s="71"/>
      <c r="G34" s="71"/>
      <c r="H34" s="71" t="s">
        <v>83</v>
      </c>
      <c r="I34" s="71"/>
      <c r="J34" s="71" t="s">
        <v>84</v>
      </c>
      <c r="K34" s="71"/>
      <c r="P34" s="6"/>
      <c r="Q34" s="6"/>
      <c r="R34" s="6"/>
      <c r="S34" s="6"/>
      <c r="U34" s="7"/>
      <c r="V34" s="8" t="s">
        <v>1</v>
      </c>
      <c r="W34" s="11"/>
      <c r="X34" s="129">
        <v>1</v>
      </c>
      <c r="Y34" s="119">
        <f t="shared" ref="Y34:AJ34" si="17">SUM(Y4:Y10)</f>
        <v>1.5833333333333333</v>
      </c>
      <c r="Z34" s="117">
        <f t="shared" si="17"/>
        <v>1.0833333333333335</v>
      </c>
      <c r="AA34" s="123">
        <f t="shared" si="17"/>
        <v>0</v>
      </c>
      <c r="AB34" s="117">
        <f t="shared" si="17"/>
        <v>1.375</v>
      </c>
      <c r="AC34" s="123">
        <f t="shared" si="17"/>
        <v>0.70833333333333337</v>
      </c>
      <c r="AD34" s="117">
        <f t="shared" si="17"/>
        <v>0.125</v>
      </c>
      <c r="AE34" s="117">
        <f t="shared" si="17"/>
        <v>0.91666666666666663</v>
      </c>
      <c r="AF34" s="117">
        <f t="shared" si="17"/>
        <v>1.0416666666666667</v>
      </c>
      <c r="AG34" s="123">
        <f t="shared" si="17"/>
        <v>0.9375</v>
      </c>
      <c r="AH34" s="117">
        <f t="shared" si="17"/>
        <v>0.875</v>
      </c>
      <c r="AI34" s="117">
        <f t="shared" ref="AI34" si="18">SUM(AI4:AI10)</f>
        <v>0.41666666666666669</v>
      </c>
      <c r="AJ34" s="126">
        <f t="shared" si="17"/>
        <v>0</v>
      </c>
      <c r="AK34" s="148"/>
      <c r="AL34" s="149"/>
      <c r="AM34" s="149"/>
      <c r="AN34" s="149"/>
      <c r="AO34" s="148"/>
    </row>
    <row r="35" spans="1:41" ht="16.5" customHeight="1" x14ac:dyDescent="0.3">
      <c r="A35" s="20"/>
      <c r="B35" s="71"/>
      <c r="C35" s="71"/>
      <c r="D35" s="71"/>
      <c r="E35" s="71"/>
      <c r="F35" s="71"/>
      <c r="G35" s="71"/>
      <c r="H35" s="71"/>
      <c r="I35" s="71"/>
      <c r="J35" s="71"/>
      <c r="K35" s="71"/>
      <c r="P35" s="6"/>
      <c r="Q35" s="6"/>
      <c r="R35" s="6"/>
      <c r="S35" s="6"/>
      <c r="U35" s="7"/>
      <c r="V35" s="8" t="s">
        <v>16</v>
      </c>
      <c r="W35" s="11"/>
      <c r="X35" s="129">
        <v>2</v>
      </c>
      <c r="Y35" s="120">
        <f t="shared" ref="Y35:AJ35" si="19">SUM(Y11:Y17)</f>
        <v>0.64583333333333337</v>
      </c>
      <c r="Z35" s="118">
        <f t="shared" si="19"/>
        <v>1.2708333333333333</v>
      </c>
      <c r="AA35" s="124">
        <f t="shared" si="19"/>
        <v>0.125</v>
      </c>
      <c r="AB35" s="118">
        <f t="shared" si="19"/>
        <v>1.0249999999999999</v>
      </c>
      <c r="AC35" s="124">
        <f t="shared" si="19"/>
        <v>0.89583333333333337</v>
      </c>
      <c r="AD35" s="118">
        <f t="shared" si="19"/>
        <v>0</v>
      </c>
      <c r="AE35" s="118">
        <f t="shared" si="19"/>
        <v>0.35416666666666663</v>
      </c>
      <c r="AF35" s="118">
        <f t="shared" si="19"/>
        <v>0.70833333333333337</v>
      </c>
      <c r="AG35" s="124">
        <f t="shared" si="19"/>
        <v>1.979166666666667</v>
      </c>
      <c r="AH35" s="118">
        <f t="shared" si="19"/>
        <v>0.875</v>
      </c>
      <c r="AI35" s="118">
        <f t="shared" ref="AI35" si="20">SUM(AI11:AI17)</f>
        <v>0.41666666666666669</v>
      </c>
      <c r="AJ35" s="127">
        <f t="shared" si="19"/>
        <v>0</v>
      </c>
      <c r="AK35" s="148"/>
      <c r="AL35" s="148"/>
      <c r="AM35" s="148"/>
      <c r="AN35" s="148"/>
      <c r="AO35" s="148"/>
    </row>
    <row r="36" spans="1:41" ht="16.5" customHeight="1" x14ac:dyDescent="0.3">
      <c r="A36" s="20"/>
      <c r="B36" s="71"/>
      <c r="C36" s="71"/>
      <c r="D36" s="71"/>
      <c r="E36" s="71"/>
      <c r="F36" s="71"/>
      <c r="G36" s="71"/>
      <c r="H36" s="71"/>
      <c r="I36" s="71"/>
      <c r="J36" s="71"/>
      <c r="K36" s="71"/>
      <c r="P36" s="6"/>
      <c r="Q36" s="6"/>
      <c r="R36" s="6"/>
      <c r="S36" s="6"/>
      <c r="U36" s="7"/>
      <c r="V36" s="8" t="s">
        <v>1</v>
      </c>
      <c r="W36" s="11"/>
      <c r="X36" s="129">
        <v>3</v>
      </c>
      <c r="Y36" s="120">
        <f t="shared" ref="Y36:AJ36" si="21">SUM(Y18:Y24)</f>
        <v>0.77083333333333337</v>
      </c>
      <c r="Z36" s="118">
        <f t="shared" si="21"/>
        <v>1.1708333333333334</v>
      </c>
      <c r="AA36" s="124">
        <f t="shared" si="21"/>
        <v>0</v>
      </c>
      <c r="AB36" s="118">
        <f t="shared" si="21"/>
        <v>1.5833333333333333</v>
      </c>
      <c r="AC36" s="124">
        <f t="shared" si="21"/>
        <v>1.7708333333333333</v>
      </c>
      <c r="AD36" s="118">
        <f t="shared" si="21"/>
        <v>0.79166666666666663</v>
      </c>
      <c r="AE36" s="118">
        <f t="shared" si="21"/>
        <v>1.2916666666666665</v>
      </c>
      <c r="AF36" s="118">
        <f t="shared" si="21"/>
        <v>0.70833333333333326</v>
      </c>
      <c r="AG36" s="124">
        <f t="shared" si="21"/>
        <v>1.1666666666666667</v>
      </c>
      <c r="AH36" s="118">
        <f t="shared" si="21"/>
        <v>0</v>
      </c>
      <c r="AI36" s="118">
        <f t="shared" ref="AI36" si="22">SUM(AI18:AI24)</f>
        <v>0.45833333333333331</v>
      </c>
      <c r="AJ36" s="127">
        <f t="shared" si="21"/>
        <v>0</v>
      </c>
      <c r="AK36" s="148"/>
      <c r="AL36" s="148"/>
      <c r="AM36" s="148"/>
      <c r="AN36" s="148"/>
      <c r="AO36" s="148"/>
    </row>
    <row r="37" spans="1:41" ht="16.5" customHeight="1" x14ac:dyDescent="0.3">
      <c r="A37" s="20"/>
      <c r="B37" s="71"/>
      <c r="C37" s="71"/>
      <c r="D37" s="71"/>
      <c r="E37" s="71"/>
      <c r="F37" s="71"/>
      <c r="G37" s="71"/>
      <c r="H37" s="71"/>
      <c r="I37" s="71"/>
      <c r="J37" s="71"/>
      <c r="K37" s="71"/>
      <c r="P37" s="6"/>
      <c r="Q37" s="6"/>
      <c r="R37" s="6"/>
      <c r="S37" s="6"/>
      <c r="U37" s="7"/>
      <c r="V37" s="8" t="s">
        <v>1</v>
      </c>
      <c r="W37" s="11"/>
      <c r="X37" s="129">
        <v>4</v>
      </c>
      <c r="Y37" s="121">
        <f t="shared" ref="Y37:AJ37" si="23">SUM(Y25:Y31)</f>
        <v>0.66666666666666674</v>
      </c>
      <c r="Z37" s="122">
        <f t="shared" si="23"/>
        <v>1.4833333333333332</v>
      </c>
      <c r="AA37" s="125">
        <f t="shared" si="23"/>
        <v>0</v>
      </c>
      <c r="AB37" s="122">
        <f t="shared" si="23"/>
        <v>1.6458333333333333</v>
      </c>
      <c r="AC37" s="125">
        <f t="shared" si="23"/>
        <v>1.2326388888888888</v>
      </c>
      <c r="AD37" s="122">
        <f t="shared" si="23"/>
        <v>0.60416666666666674</v>
      </c>
      <c r="AE37" s="122">
        <f t="shared" si="23"/>
        <v>0.35416666666666669</v>
      </c>
      <c r="AF37" s="122">
        <f t="shared" si="23"/>
        <v>0.95833333333333337</v>
      </c>
      <c r="AG37" s="125">
        <f t="shared" si="23"/>
        <v>1.5833333333333333</v>
      </c>
      <c r="AH37" s="122">
        <f t="shared" si="23"/>
        <v>0.5</v>
      </c>
      <c r="AI37" s="122">
        <f t="shared" ref="AI37" si="24">SUM(AI25:AI31)</f>
        <v>0.41666666666666669</v>
      </c>
      <c r="AJ37" s="128">
        <f t="shared" si="23"/>
        <v>0</v>
      </c>
      <c r="AK37" s="148"/>
      <c r="AL37" s="148"/>
      <c r="AM37" s="148"/>
      <c r="AN37" s="148"/>
      <c r="AO37" s="148"/>
    </row>
    <row r="38" spans="1:41" ht="16.5" customHeight="1" thickBot="1" x14ac:dyDescent="0.35">
      <c r="A38" s="20"/>
      <c r="B38" s="71"/>
      <c r="C38" s="71"/>
      <c r="D38" s="71"/>
      <c r="E38" s="71"/>
      <c r="F38" s="71"/>
      <c r="G38" s="71"/>
      <c r="H38" s="71"/>
      <c r="I38" s="71"/>
      <c r="J38" s="71"/>
      <c r="K38" s="71"/>
      <c r="P38" s="6"/>
      <c r="Q38" s="6"/>
      <c r="R38" s="6"/>
      <c r="S38" s="6"/>
      <c r="U38" s="130"/>
      <c r="V38" s="131" t="s">
        <v>1</v>
      </c>
      <c r="W38" s="132"/>
      <c r="X38" s="133">
        <v>5</v>
      </c>
      <c r="Y38" s="151" t="e">
        <f>SUM(#REF!)</f>
        <v>#REF!</v>
      </c>
      <c r="Z38" s="151" t="e">
        <f>SUM(#REF!)</f>
        <v>#REF!</v>
      </c>
      <c r="AA38" s="151" t="e">
        <f>SUM(#REF!)</f>
        <v>#REF!</v>
      </c>
      <c r="AB38" s="151" t="e">
        <f>SUM(#REF!)</f>
        <v>#REF!</v>
      </c>
      <c r="AC38" s="151" t="e">
        <f>SUM(#REF!)</f>
        <v>#REF!</v>
      </c>
      <c r="AD38" s="151" t="e">
        <f>SUM(#REF!)</f>
        <v>#REF!</v>
      </c>
      <c r="AE38" s="151" t="e">
        <f>SUM(#REF!)</f>
        <v>#REF!</v>
      </c>
      <c r="AF38" s="151" t="e">
        <f>SUM(#REF!)</f>
        <v>#REF!</v>
      </c>
      <c r="AG38" s="151" t="e">
        <f>SUM(#REF!)</f>
        <v>#REF!</v>
      </c>
      <c r="AH38" s="151" t="e">
        <f>SUM(#REF!)</f>
        <v>#REF!</v>
      </c>
      <c r="AI38" s="151" t="e">
        <f>SUM(#REF!)</f>
        <v>#REF!</v>
      </c>
      <c r="AJ38" s="202" t="e">
        <f>SUM(#REF!)</f>
        <v>#REF!</v>
      </c>
    </row>
    <row r="39" spans="1:41" ht="31.5" customHeight="1" thickBot="1" x14ac:dyDescent="0.35">
      <c r="A39" s="2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23"/>
      <c r="M39" s="23"/>
      <c r="N39" s="22"/>
      <c r="O39" s="23"/>
      <c r="P39" s="24"/>
      <c r="Q39" s="24"/>
      <c r="R39" s="24"/>
      <c r="S39" s="24"/>
      <c r="T39" s="135"/>
      <c r="U39" s="32" t="s">
        <v>17</v>
      </c>
      <c r="V39" s="32"/>
      <c r="W39" s="33"/>
      <c r="X39" s="136"/>
      <c r="Y39" s="38">
        <v>6.333333333333333</v>
      </c>
      <c r="Z39" s="39">
        <v>6.333333333333333</v>
      </c>
      <c r="AA39" s="39">
        <v>6.333333333333333</v>
      </c>
      <c r="AB39" s="39">
        <v>6.333333333333333</v>
      </c>
      <c r="AC39" s="39">
        <v>5.083333333333333</v>
      </c>
      <c r="AD39" s="39">
        <v>3.1666666666666665</v>
      </c>
      <c r="AE39" s="39">
        <v>3.7916666666666665</v>
      </c>
      <c r="AF39" s="39"/>
      <c r="AG39" s="39">
        <v>6.333333333333333</v>
      </c>
      <c r="AH39" s="39">
        <v>1.9166666666666667</v>
      </c>
      <c r="AI39" s="39">
        <v>1.5833333333333333</v>
      </c>
      <c r="AJ39" s="203"/>
    </row>
    <row r="40" spans="1:41" ht="36.75" customHeight="1" thickBot="1" x14ac:dyDescent="0.35">
      <c r="A40" s="26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28"/>
      <c r="M40" s="28"/>
      <c r="N40" s="27"/>
      <c r="O40" s="28"/>
      <c r="P40" s="29"/>
      <c r="Q40" s="29"/>
      <c r="R40" s="29"/>
      <c r="S40" s="29"/>
      <c r="T40" s="135"/>
      <c r="U40" s="32" t="s">
        <v>18</v>
      </c>
      <c r="V40" s="32"/>
      <c r="W40" s="33"/>
      <c r="X40" s="34"/>
      <c r="Y40" s="137">
        <f t="shared" ref="Y40:AJ40" si="25">Y39-Y32</f>
        <v>2.666666666666667</v>
      </c>
      <c r="Z40" s="137">
        <f t="shared" si="25"/>
        <v>1.3249999999999993</v>
      </c>
      <c r="AA40" s="138">
        <f t="shared" si="25"/>
        <v>6.208333333333333</v>
      </c>
      <c r="AB40" s="138">
        <f t="shared" si="25"/>
        <v>0.70416666666666661</v>
      </c>
      <c r="AC40" s="138">
        <f t="shared" si="25"/>
        <v>0.47569444444444375</v>
      </c>
      <c r="AD40" s="138">
        <f t="shared" ref="AD40" si="26">AD39-AD32</f>
        <v>1.6458333333333333</v>
      </c>
      <c r="AE40" s="138">
        <f t="shared" si="25"/>
        <v>0.875</v>
      </c>
      <c r="AF40" s="138">
        <f t="shared" ref="AF40" si="27">AF39-AF32</f>
        <v>-3.4166666666666665</v>
      </c>
      <c r="AG40" s="138">
        <f t="shared" si="25"/>
        <v>0.66666666666666696</v>
      </c>
      <c r="AH40" s="138">
        <f t="shared" si="25"/>
        <v>-0.33333333333333326</v>
      </c>
      <c r="AI40" s="138">
        <f t="shared" ref="AI40" si="28">AI39-AI32</f>
        <v>-0.12500000000000022</v>
      </c>
      <c r="AJ40" s="139">
        <f t="shared" si="25"/>
        <v>0</v>
      </c>
    </row>
    <row r="41" spans="1:41" s="25" customFormat="1" ht="24" customHeight="1" x14ac:dyDescent="0.3">
      <c r="A41" s="1"/>
      <c r="B41" s="1"/>
      <c r="C41" s="16"/>
      <c r="D41" s="16"/>
      <c r="E41" s="16"/>
      <c r="F41" s="1"/>
      <c r="G41" s="1"/>
      <c r="H41" s="1"/>
      <c r="I41" s="1"/>
      <c r="J41" s="3"/>
      <c r="K41" s="4"/>
      <c r="L41" s="4"/>
      <c r="M41" s="4"/>
      <c r="N41" s="3"/>
      <c r="O41" s="4"/>
      <c r="P41" s="6"/>
      <c r="Q41" s="6"/>
      <c r="R41" s="6"/>
      <c r="S41" s="6"/>
      <c r="T41" s="3"/>
      <c r="U41" s="9"/>
      <c r="V41" s="9"/>
      <c r="W41" s="10"/>
      <c r="X41" s="30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</row>
    <row r="42" spans="1:41" s="25" customFormat="1" ht="28.5" customHeight="1" x14ac:dyDescent="0.3">
      <c r="A42" s="1"/>
      <c r="B42" s="1"/>
      <c r="C42" s="16"/>
      <c r="D42" s="16"/>
      <c r="E42" s="16"/>
      <c r="F42" s="1"/>
      <c r="G42" s="1"/>
      <c r="H42" s="1"/>
      <c r="I42" s="1"/>
      <c r="J42" s="3"/>
      <c r="K42" s="4"/>
      <c r="L42" s="4"/>
      <c r="M42" s="4"/>
      <c r="N42" s="3"/>
      <c r="O42" s="4"/>
      <c r="P42" s="4"/>
      <c r="Q42" s="4"/>
      <c r="R42" s="4"/>
      <c r="S42" s="4"/>
      <c r="T42" s="3"/>
      <c r="U42" s="4"/>
      <c r="V42" s="4"/>
      <c r="W42" s="12"/>
      <c r="X42" s="3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</sheetData>
  <customSheetViews>
    <customSheetView guid="{0BC3303A-329D-40D9-85DF-BD43BA3EA599}" scale="125" showPageBreaks="1" showGridLines="0" fitToPage="1" printArea="1" showRuler="0" topLeftCell="J13">
      <selection activeCell="I33" sqref="I33"/>
      <pageMargins left="0" right="0" top="0" bottom="0" header="0" footer="0"/>
      <printOptions horizontalCentered="1" verticalCentered="1"/>
      <pageSetup paperSize="9" scale="72" orientation="portrait" horizontalDpi="4294967294" verticalDpi="4294967292" r:id="rId1"/>
      <headerFooter alignWithMargins="0"/>
    </customSheetView>
    <customSheetView guid="{39A45727-8990-45B9-814F-4AC899DF18A0}" showPageBreaks="1" showGridLines="0" fitToPage="1" printArea="1">
      <selection activeCell="L6" sqref="L6"/>
      <pageMargins left="0" right="0" top="0" bottom="0" header="0" footer="0"/>
      <printOptions horizontalCentered="1" verticalCentered="1"/>
      <pageSetup paperSize="9" scale="86" orientation="portrait" horizontalDpi="4294967294" verticalDpi="4294967292" r:id="rId2"/>
      <headerFooter alignWithMargins="0"/>
    </customSheetView>
    <customSheetView guid="{4E1BCABA-455C-4F9D-B9B8-E866F11F31D6}" showPageBreaks="1" showGridLines="0" fitToPage="1" printArea="1" showRuler="0">
      <selection activeCell="I37" sqref="A1:I37"/>
      <pageMargins left="0" right="0" top="0" bottom="0" header="0" footer="0"/>
      <printOptions horizontalCentered="1" verticalCentered="1"/>
      <pageSetup paperSize="9" scale="91" orientation="portrait" horizontalDpi="4294967294" verticalDpi="4294967292" r:id="rId3"/>
      <headerFooter alignWithMargins="0"/>
    </customSheetView>
    <customSheetView guid="{4215528C-8293-4CC6-B445-966FE740727C}" showPageBreaks="1" showGridLines="0" printArea="1" showRuler="0">
      <selection activeCell="E1" sqref="E1"/>
      <pageMargins left="0" right="0" top="0" bottom="0" header="0" footer="0"/>
      <printOptions horizontalCentered="1" verticalCentered="1"/>
      <pageSetup paperSize="9" scale="95" orientation="portrait" horizontalDpi="4294967292" verticalDpi="4294967292" r:id="rId4"/>
      <headerFooter alignWithMargins="0"/>
    </customSheetView>
    <customSheetView guid="{E411C4C0-1CE3-11D3-B04E-52544C16EF5F}" showGridLines="0" showRuler="0">
      <selection activeCell="F9" sqref="F9"/>
      <pageMargins left="0" right="0" top="0" bottom="0" header="0" footer="0"/>
      <printOptions horizontalCentered="1" verticalCentered="1"/>
      <pageSetup paperSize="9" scale="95" orientation="portrait" horizontalDpi="4294967292" verticalDpi="4294967292" r:id="rId5"/>
      <headerFooter alignWithMargins="0"/>
    </customSheetView>
    <customSheetView guid="{6CA16144-D4CF-11D2-B9BE-D753D7629341}" showPageBreaks="1" showGridLines="0" printArea="1" showRuler="0" topLeftCell="A31">
      <selection activeCell="K43" sqref="A1:K43"/>
      <pageMargins left="0" right="0" top="0" bottom="0" header="0" footer="0"/>
      <printOptions horizontalCentered="1" verticalCentered="1"/>
      <pageSetup paperSize="9" scale="95" orientation="portrait" horizontalDpi="4294967292" verticalDpi="4294967292" r:id="rId6"/>
      <headerFooter alignWithMargins="0"/>
    </customSheetView>
    <customSheetView guid="{35800BA0-EDA0-11D2-961D-52544C16EF5F}" showGridLines="0" showRuler="0" topLeftCell="A31">
      <selection activeCell="F9" sqref="F9"/>
      <pageMargins left="0" right="0" top="0" bottom="0" header="0" footer="0"/>
      <printOptions horizontalCentered="1" verticalCentered="1"/>
      <pageSetup paperSize="9" scale="95" orientation="portrait" horizontalDpi="4294967292" verticalDpi="4294967292" r:id="rId7"/>
      <headerFooter alignWithMargins="0"/>
    </customSheetView>
    <customSheetView guid="{F06E5032-145E-4265-B2BD-948E9E7E155C}" showGridLines="0" showRuler="0">
      <selection activeCell="E9" sqref="E9"/>
      <pageMargins left="0" right="0" top="0" bottom="0" header="0" footer="0"/>
      <printOptions horizontalCentered="1" verticalCentered="1"/>
      <pageSetup paperSize="9" scale="95" orientation="portrait" horizontalDpi="4294967292" verticalDpi="4294967292" r:id="rId8"/>
      <headerFooter alignWithMargins="0"/>
    </customSheetView>
    <customSheetView guid="{D76CB30D-4ADE-4FA3-B43C-8B37D3120EA4}" showGridLines="0" fitToPage="1" showRuler="0" topLeftCell="A14">
      <selection activeCell="C15" sqref="C15"/>
      <pageMargins left="0" right="0" top="0" bottom="0" header="0" footer="0"/>
      <printOptions horizontalCentered="1" verticalCentered="1"/>
      <pageSetup paperSize="9" scale="97" orientation="portrait" horizontalDpi="4294967292" verticalDpi="4294967292" r:id="rId9"/>
      <headerFooter alignWithMargins="0"/>
    </customSheetView>
    <customSheetView guid="{9A72DB26-B0B3-4A66-A632-45F702FFF812}" showPageBreaks="1" showGridLines="0" fitToPage="1" printArea="1">
      <selection activeCell="C2" sqref="C2"/>
      <pageMargins left="0" right="0" top="0" bottom="0" header="0" footer="0"/>
      <printOptions horizontalCentered="1" verticalCentered="1"/>
      <pageSetup paperSize="9" scale="70" orientation="landscape" horizontalDpi="4294967294" verticalDpi="4294967292" r:id="rId10"/>
      <headerFooter alignWithMargins="0"/>
    </customSheetView>
    <customSheetView guid="{90FA6A75-3D21-4A0C-B4B9-1F59C964FE85}" showPageBreaks="1" showGridLines="0" fitToPage="1" printArea="1" showRuler="0" topLeftCell="A4">
      <selection activeCell="C17" sqref="C17"/>
      <pageMargins left="0" right="0" top="0" bottom="0" header="0" footer="0"/>
      <printOptions horizontalCentered="1" verticalCentered="1"/>
      <pageSetup paperSize="9" orientation="landscape" horizontalDpi="4294967294" verticalDpi="4294967292" r:id="rId11"/>
      <headerFooter alignWithMargins="0"/>
    </customSheetView>
  </customSheetViews>
  <mergeCells count="11">
    <mergeCell ref="X25:X31"/>
    <mergeCell ref="X18:X24"/>
    <mergeCell ref="A1:N1"/>
    <mergeCell ref="X11:X17"/>
    <mergeCell ref="X1:X2"/>
    <mergeCell ref="A2:N2"/>
    <mergeCell ref="X4:X10"/>
    <mergeCell ref="T9:T10"/>
    <mergeCell ref="T16:T17"/>
    <mergeCell ref="T23:T24"/>
    <mergeCell ref="T30:T31"/>
  </mergeCells>
  <phoneticPr fontId="0" type="noConversion"/>
  <printOptions horizontalCentered="1" verticalCentered="1"/>
  <pageMargins left="0.27559055118110237" right="0.39370078740157483" top="0.35433070866141736" bottom="0.74803149606299213" header="0.31496062992125984" footer="0.31496062992125984"/>
  <pageSetup paperSize="9" scale="51" orientation="landscape" r:id="rId1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43"/>
  <sheetViews>
    <sheetView showRuler="0" topLeftCell="A3" zoomScale="70" zoomScaleNormal="70" workbookViewId="0">
      <selection activeCell="J10" sqref="J10"/>
    </sheetView>
  </sheetViews>
  <sheetFormatPr defaultRowHeight="13" x14ac:dyDescent="0.3"/>
  <cols>
    <col min="1" max="2" width="3" customWidth="1"/>
    <col min="3" max="4" width="25.08984375" customWidth="1"/>
    <col min="5" max="5" width="9.453125" customWidth="1"/>
    <col min="6" max="6" width="12.36328125" customWidth="1"/>
    <col min="7" max="9" width="4.90625" customWidth="1"/>
    <col min="10" max="10" width="11.54296875" customWidth="1"/>
    <col min="11" max="13" width="5.54296875" customWidth="1"/>
    <col min="14" max="14" width="11.54296875" customWidth="1"/>
    <col min="15" max="17" width="5.453125" customWidth="1"/>
    <col min="18" max="18" width="11.54296875" customWidth="1"/>
    <col min="20" max="20" width="16.90625" customWidth="1"/>
    <col min="21" max="23" width="5.453125" customWidth="1"/>
    <col min="24" max="24" width="0.90625" customWidth="1"/>
    <col min="25" max="36" width="6.54296875" customWidth="1"/>
  </cols>
  <sheetData>
    <row r="1" spans="1:37" ht="30.65" customHeight="1" thickBot="1" x14ac:dyDescent="0.35">
      <c r="A1" s="533" t="s">
        <v>24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"/>
      <c r="P1" s="54" t="s">
        <v>0</v>
      </c>
      <c r="Q1" s="54"/>
      <c r="R1" s="54"/>
      <c r="S1" s="54"/>
      <c r="T1" s="55"/>
      <c r="U1" s="56"/>
      <c r="V1" s="56"/>
      <c r="W1" s="57"/>
      <c r="X1" s="548"/>
      <c r="Y1" s="40"/>
      <c r="Z1" s="5"/>
      <c r="AA1" s="5"/>
      <c r="AB1" s="5"/>
      <c r="AC1" s="5"/>
      <c r="AD1" s="5"/>
      <c r="AE1" s="5"/>
      <c r="AF1" s="5"/>
      <c r="AG1" s="5"/>
      <c r="AH1" s="5"/>
      <c r="AI1" s="5"/>
      <c r="AJ1" s="41"/>
      <c r="AK1" s="17"/>
    </row>
    <row r="2" spans="1:37" ht="27.65" customHeight="1" thickBot="1" x14ac:dyDescent="0.35">
      <c r="A2" s="540" t="s">
        <v>21</v>
      </c>
      <c r="B2" s="541"/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2"/>
      <c r="O2" s="67"/>
      <c r="P2" s="67"/>
      <c r="Q2" s="67"/>
      <c r="R2" s="67"/>
      <c r="S2" s="67"/>
      <c r="T2" s="67"/>
      <c r="U2" s="67"/>
      <c r="V2" s="67"/>
      <c r="W2" s="68"/>
      <c r="X2" s="549"/>
      <c r="Y2" s="195">
        <v>50</v>
      </c>
      <c r="Z2" s="196">
        <v>50</v>
      </c>
      <c r="AA2" s="196"/>
      <c r="AB2" s="196">
        <v>75</v>
      </c>
      <c r="AC2" s="196">
        <v>80</v>
      </c>
      <c r="AD2" s="196">
        <v>70</v>
      </c>
      <c r="AE2" s="196">
        <v>80</v>
      </c>
      <c r="AF2" s="196">
        <v>80</v>
      </c>
      <c r="AG2" s="196">
        <v>80</v>
      </c>
      <c r="AH2" s="196"/>
      <c r="AI2" s="196">
        <v>30</v>
      </c>
      <c r="AJ2" s="197">
        <v>40</v>
      </c>
      <c r="AK2" s="1">
        <f>SUM(Y2:AJ2)</f>
        <v>635</v>
      </c>
    </row>
    <row r="3" spans="1:37" ht="40.25" customHeight="1" thickBot="1" x14ac:dyDescent="0.35">
      <c r="A3" s="69"/>
      <c r="B3" s="70"/>
      <c r="C3" s="73" t="s">
        <v>2</v>
      </c>
      <c r="D3" s="74" t="s">
        <v>3</v>
      </c>
      <c r="E3" s="80" t="s">
        <v>4</v>
      </c>
      <c r="F3" s="75" t="s">
        <v>5</v>
      </c>
      <c r="G3" s="76"/>
      <c r="H3" s="75"/>
      <c r="I3" s="76"/>
      <c r="J3" s="264" t="s">
        <v>6</v>
      </c>
      <c r="K3" s="265"/>
      <c r="L3" s="265"/>
      <c r="M3" s="265"/>
      <c r="N3" s="266" t="s">
        <v>7</v>
      </c>
      <c r="O3" s="267"/>
      <c r="P3" s="265"/>
      <c r="Q3" s="265"/>
      <c r="R3" s="269"/>
      <c r="S3" s="181" t="s">
        <v>19</v>
      </c>
      <c r="T3" s="205" t="s">
        <v>20</v>
      </c>
      <c r="U3" s="47"/>
      <c r="V3" s="47"/>
      <c r="W3" s="48"/>
      <c r="X3" s="550"/>
      <c r="Y3" s="188" t="s">
        <v>26</v>
      </c>
      <c r="Z3" s="216" t="s">
        <v>27</v>
      </c>
      <c r="AA3" s="189" t="s">
        <v>28</v>
      </c>
      <c r="AB3" s="189" t="s">
        <v>29</v>
      </c>
      <c r="AC3" s="189" t="s">
        <v>30</v>
      </c>
      <c r="AD3" s="189" t="s">
        <v>31</v>
      </c>
      <c r="AE3" s="189" t="s">
        <v>32</v>
      </c>
      <c r="AF3" s="189" t="s">
        <v>33</v>
      </c>
      <c r="AG3" s="189" t="s">
        <v>34</v>
      </c>
      <c r="AH3" s="189" t="s">
        <v>35</v>
      </c>
      <c r="AI3" s="361" t="s">
        <v>44</v>
      </c>
      <c r="AJ3" s="190" t="s">
        <v>43</v>
      </c>
      <c r="AK3" s="1"/>
    </row>
    <row r="4" spans="1:37" ht="18" customHeight="1" thickBot="1" x14ac:dyDescent="0.35">
      <c r="A4" s="169" t="s">
        <v>15</v>
      </c>
      <c r="B4" s="170">
        <v>2</v>
      </c>
      <c r="C4" s="182"/>
      <c r="D4" s="171"/>
      <c r="E4" s="198"/>
      <c r="F4" s="172"/>
      <c r="G4" s="247"/>
      <c r="H4" s="247"/>
      <c r="I4" s="258"/>
      <c r="J4" s="270" t="s">
        <v>31</v>
      </c>
      <c r="K4" s="285">
        <v>0.58333333333333337</v>
      </c>
      <c r="L4" s="248">
        <v>0.85416666666666663</v>
      </c>
      <c r="M4" s="290">
        <f t="shared" ref="M4:M10" si="0">L4-K4</f>
        <v>0.27083333333333326</v>
      </c>
      <c r="N4" s="248" t="s">
        <v>34</v>
      </c>
      <c r="O4" s="285">
        <v>0.625</v>
      </c>
      <c r="P4" s="248">
        <v>0.875</v>
      </c>
      <c r="Q4" s="299">
        <f t="shared" ref="Q4:Q10" si="1">P4-O4</f>
        <v>0.25</v>
      </c>
      <c r="R4" s="262"/>
      <c r="S4" s="276" t="s">
        <v>26</v>
      </c>
      <c r="T4" s="249"/>
      <c r="U4" s="248">
        <v>0.85416666666666663</v>
      </c>
      <c r="V4" s="248">
        <v>0.39583333333333331</v>
      </c>
      <c r="W4" s="250">
        <v>0.375</v>
      </c>
      <c r="X4" s="551"/>
      <c r="Y4" s="218">
        <v>0.375</v>
      </c>
      <c r="Z4" s="219"/>
      <c r="AA4" s="219"/>
      <c r="AB4" s="219"/>
      <c r="AC4" s="220"/>
      <c r="AD4" s="220">
        <v>0.27083333333333331</v>
      </c>
      <c r="AE4" s="219"/>
      <c r="AF4" s="219"/>
      <c r="AG4" s="219">
        <v>0.25</v>
      </c>
      <c r="AH4" s="220"/>
      <c r="AI4" s="373"/>
      <c r="AJ4" s="377"/>
      <c r="AK4" s="1"/>
    </row>
    <row r="5" spans="1:37" ht="18" customHeight="1" thickBot="1" x14ac:dyDescent="0.35">
      <c r="A5" s="62" t="s">
        <v>9</v>
      </c>
      <c r="B5" s="63">
        <v>3</v>
      </c>
      <c r="C5" s="183"/>
      <c r="D5" s="174"/>
      <c r="E5" s="229"/>
      <c r="F5" s="175" t="s">
        <v>99</v>
      </c>
      <c r="G5" s="247">
        <v>0.58333333333333337</v>
      </c>
      <c r="H5" s="247">
        <v>0.83333333333333337</v>
      </c>
      <c r="I5" s="259"/>
      <c r="J5" s="274" t="s">
        <v>32</v>
      </c>
      <c r="K5" s="286">
        <v>0.58333333333333337</v>
      </c>
      <c r="L5" s="247">
        <v>0.85416666666666663</v>
      </c>
      <c r="M5" s="291">
        <f t="shared" si="0"/>
        <v>0.27083333333333326</v>
      </c>
      <c r="N5" s="272" t="s">
        <v>28</v>
      </c>
      <c r="O5" s="286">
        <v>0.625</v>
      </c>
      <c r="P5" s="247">
        <v>0.875</v>
      </c>
      <c r="Q5" s="251">
        <f t="shared" si="1"/>
        <v>0.25</v>
      </c>
      <c r="R5" s="263"/>
      <c r="S5" s="156" t="s">
        <v>30</v>
      </c>
      <c r="T5" s="252"/>
      <c r="U5" s="247">
        <v>0.85416666666666663</v>
      </c>
      <c r="V5" s="247">
        <v>0.39583333333333331</v>
      </c>
      <c r="W5" s="250">
        <v>0.375</v>
      </c>
      <c r="X5" s="551"/>
      <c r="Y5" s="218">
        <v>0.125</v>
      </c>
      <c r="Z5" s="219"/>
      <c r="AA5" s="219">
        <v>0.375</v>
      </c>
      <c r="AB5" s="219">
        <v>0.125</v>
      </c>
      <c r="AC5" s="220">
        <v>0.375</v>
      </c>
      <c r="AD5" s="220">
        <v>0.125</v>
      </c>
      <c r="AE5" s="219">
        <v>0.39583333333333331</v>
      </c>
      <c r="AF5" s="219">
        <v>0.125</v>
      </c>
      <c r="AG5" s="219">
        <v>0.125</v>
      </c>
      <c r="AH5" s="220"/>
      <c r="AI5" s="373"/>
      <c r="AJ5" s="378"/>
      <c r="AK5" s="1"/>
    </row>
    <row r="6" spans="1:37" ht="18" customHeight="1" thickBot="1" x14ac:dyDescent="0.35">
      <c r="A6" s="60" t="s">
        <v>10</v>
      </c>
      <c r="B6" s="61">
        <v>4</v>
      </c>
      <c r="C6" s="183" t="s">
        <v>45</v>
      </c>
      <c r="D6" s="174"/>
      <c r="E6" s="229"/>
      <c r="F6" s="199" t="s">
        <v>99</v>
      </c>
      <c r="G6" s="253">
        <v>0.47916666666666669</v>
      </c>
      <c r="H6" s="253">
        <v>0.83333333333333337</v>
      </c>
      <c r="I6" s="260"/>
      <c r="J6" s="271" t="s">
        <v>31</v>
      </c>
      <c r="K6" s="286">
        <v>0.47916666666666669</v>
      </c>
      <c r="L6" s="247">
        <v>0.85416666666666663</v>
      </c>
      <c r="M6" s="291">
        <f t="shared" si="0"/>
        <v>0.37499999999999994</v>
      </c>
      <c r="N6" s="274" t="s">
        <v>35</v>
      </c>
      <c r="O6" s="286">
        <v>0.47916666666666669</v>
      </c>
      <c r="P6" s="247">
        <v>0.875</v>
      </c>
      <c r="Q6" s="251">
        <f t="shared" si="1"/>
        <v>0.39583333333333331</v>
      </c>
      <c r="R6" s="263"/>
      <c r="S6" s="277" t="s">
        <v>26</v>
      </c>
      <c r="T6" s="252"/>
      <c r="U6" s="254">
        <v>0.85416666666666663</v>
      </c>
      <c r="V6" s="254">
        <v>0.39583333333333331</v>
      </c>
      <c r="W6" s="250">
        <v>0.375</v>
      </c>
      <c r="X6" s="551"/>
      <c r="Y6" s="218"/>
      <c r="Z6" s="219"/>
      <c r="AA6" s="219">
        <v>0.375</v>
      </c>
      <c r="AB6" s="219"/>
      <c r="AC6" s="220"/>
      <c r="AD6" s="220">
        <v>0.375</v>
      </c>
      <c r="AE6" s="219"/>
      <c r="AF6" s="219"/>
      <c r="AG6" s="219"/>
      <c r="AH6" s="220"/>
      <c r="AI6" s="373"/>
      <c r="AJ6" s="378"/>
      <c r="AK6" s="1"/>
    </row>
    <row r="7" spans="1:37" ht="18" customHeight="1" thickBot="1" x14ac:dyDescent="0.35">
      <c r="A7" s="62" t="s">
        <v>11</v>
      </c>
      <c r="B7" s="63">
        <v>5</v>
      </c>
      <c r="C7" s="500" t="s">
        <v>40</v>
      </c>
      <c r="D7" s="174"/>
      <c r="E7" s="229"/>
      <c r="F7" s="199"/>
      <c r="G7" s="247"/>
      <c r="H7" s="247"/>
      <c r="I7" s="259"/>
      <c r="J7" s="272" t="s">
        <v>28</v>
      </c>
      <c r="K7" s="286">
        <v>0.58333333333333337</v>
      </c>
      <c r="L7" s="247">
        <v>0.85416666666666663</v>
      </c>
      <c r="M7" s="291">
        <f t="shared" si="0"/>
        <v>0.27083333333333326</v>
      </c>
      <c r="N7" s="272" t="s">
        <v>30</v>
      </c>
      <c r="O7" s="286">
        <v>0.625</v>
      </c>
      <c r="P7" s="247">
        <v>0.875</v>
      </c>
      <c r="Q7" s="251">
        <f t="shared" si="1"/>
        <v>0.25</v>
      </c>
      <c r="R7" s="263"/>
      <c r="S7" s="278" t="s">
        <v>32</v>
      </c>
      <c r="T7" s="252"/>
      <c r="U7" s="247">
        <v>0.85416666666666663</v>
      </c>
      <c r="V7" s="247">
        <v>0.39583333333333331</v>
      </c>
      <c r="W7" s="250">
        <v>0.375</v>
      </c>
      <c r="X7" s="551"/>
      <c r="Y7" s="221">
        <v>0.375</v>
      </c>
      <c r="Z7" s="219"/>
      <c r="AA7" s="219"/>
      <c r="AB7" s="219"/>
      <c r="AC7" s="220">
        <v>0.25</v>
      </c>
      <c r="AD7" s="220"/>
      <c r="AE7" s="219">
        <v>0.27083333333333331</v>
      </c>
      <c r="AF7" s="219"/>
      <c r="AG7" s="219"/>
      <c r="AH7" s="220"/>
      <c r="AI7" s="373"/>
      <c r="AJ7" s="378"/>
      <c r="AK7" s="1"/>
    </row>
    <row r="8" spans="1:37" ht="18" customHeight="1" thickBot="1" x14ac:dyDescent="0.35">
      <c r="A8" s="58" t="s">
        <v>12</v>
      </c>
      <c r="B8" s="59">
        <v>6</v>
      </c>
      <c r="C8" s="184" t="s">
        <v>39</v>
      </c>
      <c r="D8" s="176"/>
      <c r="E8" s="384" t="s">
        <v>30</v>
      </c>
      <c r="F8" s="177"/>
      <c r="G8" s="255"/>
      <c r="H8" s="255"/>
      <c r="I8" s="261"/>
      <c r="J8" s="273" t="s">
        <v>29</v>
      </c>
      <c r="K8" s="287">
        <v>0.58333333333333337</v>
      </c>
      <c r="L8" s="293">
        <v>0.8125</v>
      </c>
      <c r="M8" s="292">
        <f t="shared" si="0"/>
        <v>0.22916666666666663</v>
      </c>
      <c r="N8" s="275" t="s">
        <v>35</v>
      </c>
      <c r="O8" s="287">
        <v>0.625</v>
      </c>
      <c r="P8" s="293">
        <v>0.8125</v>
      </c>
      <c r="Q8" s="300">
        <f t="shared" si="1"/>
        <v>0.1875</v>
      </c>
      <c r="R8" s="298"/>
      <c r="S8" s="279" t="s">
        <v>27</v>
      </c>
      <c r="T8" s="257"/>
      <c r="U8" s="256">
        <v>0.79166666666666663</v>
      </c>
      <c r="V8" s="256">
        <v>0.45833333333333331</v>
      </c>
      <c r="W8" s="250"/>
      <c r="X8" s="551"/>
      <c r="Y8" s="222"/>
      <c r="Z8" s="223">
        <v>0.45833333333333331</v>
      </c>
      <c r="AA8" s="223"/>
      <c r="AB8" s="223">
        <v>0.22916666666666666</v>
      </c>
      <c r="AC8" s="223">
        <v>0.22916666666666666</v>
      </c>
      <c r="AD8" s="223"/>
      <c r="AE8" s="223"/>
      <c r="AF8" s="223"/>
      <c r="AG8" s="223"/>
      <c r="AH8" s="223"/>
      <c r="AI8" s="374"/>
      <c r="AJ8" s="379"/>
      <c r="AK8" s="1"/>
    </row>
    <row r="9" spans="1:37" ht="18" customHeight="1" thickBot="1" x14ac:dyDescent="0.35">
      <c r="A9" s="45" t="s">
        <v>13</v>
      </c>
      <c r="B9" s="66">
        <v>7</v>
      </c>
      <c r="C9" s="185"/>
      <c r="D9" s="81" t="s">
        <v>28</v>
      </c>
      <c r="E9" s="83"/>
      <c r="F9" s="85"/>
      <c r="G9" s="86"/>
      <c r="H9" s="86"/>
      <c r="I9" s="280"/>
      <c r="J9" s="284" t="s">
        <v>30</v>
      </c>
      <c r="K9" s="288">
        <v>0.4375</v>
      </c>
      <c r="L9" s="86">
        <v>0.8125</v>
      </c>
      <c r="M9" s="294">
        <f t="shared" si="0"/>
        <v>0.375</v>
      </c>
      <c r="N9" s="284"/>
      <c r="O9" s="288"/>
      <c r="P9" s="86"/>
      <c r="Q9" s="87">
        <f t="shared" si="1"/>
        <v>0</v>
      </c>
      <c r="R9" s="556"/>
      <c r="S9" s="90" t="s">
        <v>29</v>
      </c>
      <c r="T9" s="552" t="s">
        <v>52</v>
      </c>
      <c r="U9" s="91">
        <v>0.79166666666666663</v>
      </c>
      <c r="V9" s="91">
        <v>0.45833333333333331</v>
      </c>
      <c r="W9" s="281"/>
      <c r="X9" s="551"/>
      <c r="Y9" s="116"/>
      <c r="Z9" s="49"/>
      <c r="AA9" s="352"/>
      <c r="AB9" s="49">
        <v>0.45833333333333331</v>
      </c>
      <c r="AC9" s="49"/>
      <c r="AD9" s="49">
        <v>0.375</v>
      </c>
      <c r="AE9" s="49"/>
      <c r="AF9" s="49"/>
      <c r="AG9" s="49"/>
      <c r="AH9" s="49"/>
      <c r="AI9" s="375"/>
      <c r="AJ9" s="380"/>
      <c r="AK9" s="1"/>
    </row>
    <row r="10" spans="1:37" ht="18" customHeight="1" thickBot="1" x14ac:dyDescent="0.35">
      <c r="A10" s="43" t="s">
        <v>14</v>
      </c>
      <c r="B10" s="44">
        <v>8</v>
      </c>
      <c r="C10" s="186"/>
      <c r="D10" s="82" t="s">
        <v>28</v>
      </c>
      <c r="E10" s="84"/>
      <c r="F10" s="93" t="s">
        <v>99</v>
      </c>
      <c r="G10" s="94">
        <v>0.4375</v>
      </c>
      <c r="H10" s="94">
        <v>0.8125</v>
      </c>
      <c r="I10" s="282"/>
      <c r="J10" s="283" t="s">
        <v>27</v>
      </c>
      <c r="K10" s="289">
        <v>0.4375</v>
      </c>
      <c r="L10" s="97">
        <v>0.8125</v>
      </c>
      <c r="M10" s="295">
        <f t="shared" si="0"/>
        <v>0.375</v>
      </c>
      <c r="N10" s="283"/>
      <c r="O10" s="289"/>
      <c r="P10" s="97"/>
      <c r="Q10" s="99">
        <f t="shared" si="1"/>
        <v>0</v>
      </c>
      <c r="R10" s="557"/>
      <c r="S10" s="100" t="s">
        <v>31</v>
      </c>
      <c r="T10" s="553"/>
      <c r="U10" s="101">
        <v>0.79166666666666663</v>
      </c>
      <c r="V10" s="101">
        <v>0.45833333333333331</v>
      </c>
      <c r="W10" s="281"/>
      <c r="X10" s="551"/>
      <c r="Y10" s="237"/>
      <c r="Z10" s="230">
        <v>0.375</v>
      </c>
      <c r="AA10" s="353"/>
      <c r="AB10" s="230"/>
      <c r="AC10" s="230"/>
      <c r="AD10" s="230">
        <v>0.47916666666666669</v>
      </c>
      <c r="AE10" s="230"/>
      <c r="AF10" s="230"/>
      <c r="AG10" s="230"/>
      <c r="AH10" s="230"/>
      <c r="AI10" s="376"/>
      <c r="AJ10" s="381"/>
      <c r="AK10" s="1"/>
    </row>
    <row r="11" spans="1:37" ht="18" customHeight="1" thickBot="1" x14ac:dyDescent="0.35">
      <c r="A11" s="169" t="s">
        <v>15</v>
      </c>
      <c r="B11" s="170">
        <v>9</v>
      </c>
      <c r="C11" s="182" t="s">
        <v>36</v>
      </c>
      <c r="D11" s="171" t="s">
        <v>28</v>
      </c>
      <c r="E11" s="198"/>
      <c r="F11" s="172"/>
      <c r="G11" s="103"/>
      <c r="H11" s="103"/>
      <c r="I11" s="173">
        <f t="shared" ref="I11:I22" si="2">H11-G11</f>
        <v>0</v>
      </c>
      <c r="J11" s="268" t="s">
        <v>44</v>
      </c>
      <c r="K11" s="285">
        <v>0.58333333333333337</v>
      </c>
      <c r="L11" s="248">
        <v>0.85416666666666663</v>
      </c>
      <c r="M11" s="290">
        <f t="shared" ref="M11:M31" si="3">L11-K11</f>
        <v>0.27083333333333326</v>
      </c>
      <c r="N11" s="248" t="s">
        <v>30</v>
      </c>
      <c r="O11" s="285">
        <v>0.625</v>
      </c>
      <c r="P11" s="248">
        <v>0.875</v>
      </c>
      <c r="Q11" s="299">
        <f t="shared" ref="Q11:Q31" si="4">P11-O11</f>
        <v>0.25</v>
      </c>
      <c r="R11" s="262"/>
      <c r="S11" s="489" t="s">
        <v>26</v>
      </c>
      <c r="T11" s="249"/>
      <c r="U11" s="248">
        <v>0.85416666666666663</v>
      </c>
      <c r="V11" s="248">
        <v>0.39583333333333331</v>
      </c>
      <c r="W11" s="250"/>
      <c r="X11" s="551"/>
      <c r="Y11" s="234"/>
      <c r="Z11" s="226"/>
      <c r="AA11" s="352"/>
      <c r="AB11" s="226"/>
      <c r="AC11" s="226">
        <v>0.25</v>
      </c>
      <c r="AD11" s="226"/>
      <c r="AE11" s="226"/>
      <c r="AF11" s="226"/>
      <c r="AG11" s="226"/>
      <c r="AH11" s="226"/>
      <c r="AI11" s="366">
        <v>0.27083333333333331</v>
      </c>
      <c r="AJ11" s="235"/>
      <c r="AK11" s="1"/>
    </row>
    <row r="12" spans="1:37" ht="18" customHeight="1" thickBot="1" x14ac:dyDescent="0.35">
      <c r="A12" s="62" t="s">
        <v>9</v>
      </c>
      <c r="B12" s="63">
        <v>10</v>
      </c>
      <c r="C12" s="183" t="s">
        <v>40</v>
      </c>
      <c r="D12" s="174" t="s">
        <v>28</v>
      </c>
      <c r="E12" s="229"/>
      <c r="F12" s="175" t="s">
        <v>100</v>
      </c>
      <c r="G12" s="103">
        <v>0.41666666666666669</v>
      </c>
      <c r="H12" s="103">
        <v>0.89583333333333337</v>
      </c>
      <c r="I12" s="113">
        <f t="shared" si="2"/>
        <v>0.47916666666666669</v>
      </c>
      <c r="J12" s="492" t="s">
        <v>35</v>
      </c>
      <c r="K12" s="286">
        <v>0.58333333333333337</v>
      </c>
      <c r="L12" s="247">
        <v>0.85416666666666663</v>
      </c>
      <c r="M12" s="291">
        <f t="shared" si="3"/>
        <v>0.27083333333333326</v>
      </c>
      <c r="N12" s="272" t="s">
        <v>31</v>
      </c>
      <c r="O12" s="286">
        <v>0.625</v>
      </c>
      <c r="P12" s="247">
        <v>0.875</v>
      </c>
      <c r="Q12" s="251">
        <f t="shared" si="4"/>
        <v>0.25</v>
      </c>
      <c r="R12" s="263"/>
      <c r="S12" s="156" t="s">
        <v>32</v>
      </c>
      <c r="T12" s="252"/>
      <c r="U12" s="247">
        <v>0.85416666666666663</v>
      </c>
      <c r="V12" s="247">
        <v>0.39583333333333331</v>
      </c>
      <c r="W12" s="250"/>
      <c r="X12" s="551"/>
      <c r="Y12" s="221"/>
      <c r="Z12" s="219"/>
      <c r="AA12" s="354"/>
      <c r="AB12" s="219">
        <v>0.125</v>
      </c>
      <c r="AC12" s="219">
        <v>0.125</v>
      </c>
      <c r="AD12" s="219">
        <v>0.39583333333333331</v>
      </c>
      <c r="AE12" s="219">
        <v>0.375</v>
      </c>
      <c r="AF12" s="219">
        <v>0.39583333333333331</v>
      </c>
      <c r="AG12" s="219">
        <v>0.125</v>
      </c>
      <c r="AH12" s="219"/>
      <c r="AI12" s="367"/>
      <c r="AJ12" s="192">
        <v>0.125</v>
      </c>
      <c r="AK12" s="1"/>
    </row>
    <row r="13" spans="1:37" ht="18" customHeight="1" thickBot="1" x14ac:dyDescent="0.35">
      <c r="A13" s="60" t="s">
        <v>10</v>
      </c>
      <c r="B13" s="61">
        <v>11</v>
      </c>
      <c r="C13" s="183"/>
      <c r="D13" s="174" t="s">
        <v>28</v>
      </c>
      <c r="E13" s="229"/>
      <c r="F13" s="199" t="s">
        <v>100</v>
      </c>
      <c r="G13" s="103">
        <v>0.47916666666666669</v>
      </c>
      <c r="H13" s="103">
        <v>0.89583333333333337</v>
      </c>
      <c r="I13" s="113">
        <f t="shared" si="2"/>
        <v>0.41666666666666669</v>
      </c>
      <c r="J13" s="115" t="s">
        <v>31</v>
      </c>
      <c r="K13" s="286">
        <v>0.47916666666666669</v>
      </c>
      <c r="L13" s="247">
        <v>0.85416666666666663</v>
      </c>
      <c r="M13" s="291">
        <f t="shared" si="3"/>
        <v>0.37499999999999994</v>
      </c>
      <c r="N13" s="274" t="s">
        <v>34</v>
      </c>
      <c r="O13" s="286">
        <v>0.47916666666666669</v>
      </c>
      <c r="P13" s="247">
        <v>0.875</v>
      </c>
      <c r="Q13" s="251">
        <f t="shared" si="4"/>
        <v>0.39583333333333331</v>
      </c>
      <c r="R13" s="263"/>
      <c r="S13" s="277" t="s">
        <v>30</v>
      </c>
      <c r="T13" s="252"/>
      <c r="U13" s="254">
        <v>0.85416666666666663</v>
      </c>
      <c r="V13" s="254">
        <v>0.39583333333333331</v>
      </c>
      <c r="W13" s="250"/>
      <c r="X13" s="551"/>
      <c r="Y13" s="221"/>
      <c r="Z13" s="219"/>
      <c r="AA13" s="354"/>
      <c r="AB13" s="219">
        <v>0.39583333333333331</v>
      </c>
      <c r="AC13" s="219">
        <v>0.375</v>
      </c>
      <c r="AD13" s="219"/>
      <c r="AE13" s="219"/>
      <c r="AF13" s="219"/>
      <c r="AG13" s="219"/>
      <c r="AH13" s="219"/>
      <c r="AI13" s="367"/>
      <c r="AJ13" s="192"/>
      <c r="AK13" s="1"/>
    </row>
    <row r="14" spans="1:37" ht="18" customHeight="1" thickBot="1" x14ac:dyDescent="0.35">
      <c r="A14" s="62" t="s">
        <v>11</v>
      </c>
      <c r="B14" s="63">
        <v>12</v>
      </c>
      <c r="C14" s="200" t="s">
        <v>41</v>
      </c>
      <c r="D14" s="174" t="s">
        <v>28</v>
      </c>
      <c r="E14" s="229"/>
      <c r="F14" s="199" t="s">
        <v>99</v>
      </c>
      <c r="G14" s="103">
        <v>0.58333333333333337</v>
      </c>
      <c r="H14" s="103">
        <v>0.83333333333333337</v>
      </c>
      <c r="I14" s="113">
        <f t="shared" si="2"/>
        <v>0.25</v>
      </c>
      <c r="J14" s="114" t="s">
        <v>29</v>
      </c>
      <c r="K14" s="286">
        <v>0.58333333333333337</v>
      </c>
      <c r="L14" s="247">
        <v>0.85416666666666663</v>
      </c>
      <c r="M14" s="291">
        <f t="shared" si="3"/>
        <v>0.27083333333333326</v>
      </c>
      <c r="N14" s="272" t="s">
        <v>35</v>
      </c>
      <c r="O14" s="286">
        <v>0.625</v>
      </c>
      <c r="P14" s="247">
        <v>0.875</v>
      </c>
      <c r="Q14" s="251">
        <f t="shared" si="4"/>
        <v>0.25</v>
      </c>
      <c r="R14" s="263"/>
      <c r="S14" s="490" t="s">
        <v>26</v>
      </c>
      <c r="T14" s="252"/>
      <c r="U14" s="247">
        <v>0.85416666666666663</v>
      </c>
      <c r="V14" s="247">
        <v>0.39583333333333331</v>
      </c>
      <c r="W14" s="250"/>
      <c r="X14" s="551"/>
      <c r="Y14" s="221"/>
      <c r="Z14" s="219"/>
      <c r="AA14" s="354"/>
      <c r="AB14" s="219"/>
      <c r="AC14" s="219"/>
      <c r="AD14" s="219"/>
      <c r="AE14" s="219"/>
      <c r="AF14" s="219"/>
      <c r="AG14" s="219">
        <v>0.27083333333333331</v>
      </c>
      <c r="AH14" s="219"/>
      <c r="AI14" s="367"/>
      <c r="AJ14" s="192"/>
      <c r="AK14" s="1"/>
    </row>
    <row r="15" spans="1:37" ht="18" customHeight="1" thickBot="1" x14ac:dyDescent="0.35">
      <c r="A15" s="58" t="s">
        <v>12</v>
      </c>
      <c r="B15" s="59">
        <v>13</v>
      </c>
      <c r="C15" s="184"/>
      <c r="D15" s="176" t="s">
        <v>28</v>
      </c>
      <c r="E15" s="384" t="s">
        <v>32</v>
      </c>
      <c r="F15" s="177" t="s">
        <v>99</v>
      </c>
      <c r="G15" s="103">
        <v>0.58333333333333337</v>
      </c>
      <c r="H15" s="103">
        <v>0.83333333333333337</v>
      </c>
      <c r="I15" s="178">
        <f t="shared" si="2"/>
        <v>0.25</v>
      </c>
      <c r="J15" s="107" t="s">
        <v>29</v>
      </c>
      <c r="K15" s="287">
        <v>0.58333333333333337</v>
      </c>
      <c r="L15" s="293">
        <v>0.8125</v>
      </c>
      <c r="M15" s="292">
        <f t="shared" si="3"/>
        <v>0.22916666666666663</v>
      </c>
      <c r="N15" s="273" t="s">
        <v>34</v>
      </c>
      <c r="O15" s="287">
        <v>0.625</v>
      </c>
      <c r="P15" s="293">
        <v>0.8125</v>
      </c>
      <c r="Q15" s="300">
        <f t="shared" si="4"/>
        <v>0.1875</v>
      </c>
      <c r="R15" s="298"/>
      <c r="S15" s="279" t="s">
        <v>27</v>
      </c>
      <c r="T15" s="257"/>
      <c r="U15" s="256">
        <v>0.79166666666666663</v>
      </c>
      <c r="V15" s="256">
        <v>0.45833333333333331</v>
      </c>
      <c r="W15" s="250"/>
      <c r="X15" s="551"/>
      <c r="Y15" s="222"/>
      <c r="Z15" s="223">
        <v>0.45833333333333331</v>
      </c>
      <c r="AA15" s="355"/>
      <c r="AB15" s="223">
        <v>0.22916666666666666</v>
      </c>
      <c r="AC15" s="382" t="s">
        <v>46</v>
      </c>
      <c r="AD15" s="223"/>
      <c r="AE15" s="223">
        <v>0.22916666666666666</v>
      </c>
      <c r="AF15" s="223"/>
      <c r="AG15" s="223">
        <v>0.1875</v>
      </c>
      <c r="AH15" s="223"/>
      <c r="AI15" s="368"/>
      <c r="AJ15" s="236"/>
      <c r="AK15" s="1"/>
    </row>
    <row r="16" spans="1:37" ht="18" customHeight="1" thickBot="1" x14ac:dyDescent="0.35">
      <c r="A16" s="45" t="s">
        <v>13</v>
      </c>
      <c r="B16" s="42">
        <v>14</v>
      </c>
      <c r="C16" s="185"/>
      <c r="D16" s="81" t="s">
        <v>28</v>
      </c>
      <c r="E16" s="83"/>
      <c r="F16" s="85" t="s">
        <v>100</v>
      </c>
      <c r="G16" s="86">
        <v>0.4375</v>
      </c>
      <c r="H16" s="86">
        <v>0.8125</v>
      </c>
      <c r="I16" s="87">
        <f t="shared" si="2"/>
        <v>0.375</v>
      </c>
      <c r="J16" s="88" t="s">
        <v>32</v>
      </c>
      <c r="K16" s="89">
        <v>0.4375</v>
      </c>
      <c r="L16" s="86">
        <v>0.8125</v>
      </c>
      <c r="M16" s="296">
        <f t="shared" si="3"/>
        <v>0.375</v>
      </c>
      <c r="N16" s="284"/>
      <c r="O16" s="288"/>
      <c r="P16" s="86"/>
      <c r="Q16" s="87">
        <f t="shared" si="4"/>
        <v>0</v>
      </c>
      <c r="R16" s="556"/>
      <c r="S16" s="90" t="s">
        <v>43</v>
      </c>
      <c r="T16" s="552" t="s">
        <v>47</v>
      </c>
      <c r="U16" s="91">
        <v>0.79166666666666663</v>
      </c>
      <c r="V16" s="91">
        <v>0.45833333333333331</v>
      </c>
      <c r="W16" s="281"/>
      <c r="X16" s="551"/>
      <c r="Y16" s="238"/>
      <c r="Z16" s="232"/>
      <c r="AA16" s="356"/>
      <c r="AB16" s="232"/>
      <c r="AC16" s="383" t="s">
        <v>46</v>
      </c>
      <c r="AD16" s="232"/>
      <c r="AE16" s="232">
        <v>0.375</v>
      </c>
      <c r="AF16" s="232"/>
      <c r="AG16" s="232"/>
      <c r="AH16" s="232"/>
      <c r="AI16" s="369"/>
      <c r="AJ16" s="233">
        <v>0.47916666666666669</v>
      </c>
      <c r="AK16" s="1"/>
    </row>
    <row r="17" spans="1:37" ht="18" customHeight="1" thickBot="1" x14ac:dyDescent="0.35">
      <c r="A17" s="43" t="s">
        <v>14</v>
      </c>
      <c r="B17" s="46">
        <v>15</v>
      </c>
      <c r="C17" s="186"/>
      <c r="D17" s="82" t="s">
        <v>28</v>
      </c>
      <c r="E17" s="84"/>
      <c r="F17" s="112"/>
      <c r="G17" s="94"/>
      <c r="H17" s="94"/>
      <c r="I17" s="99">
        <f t="shared" si="2"/>
        <v>0</v>
      </c>
      <c r="J17" s="96" t="s">
        <v>27</v>
      </c>
      <c r="K17" s="98">
        <v>0.4375</v>
      </c>
      <c r="L17" s="97">
        <v>0.8125</v>
      </c>
      <c r="M17" s="297">
        <f t="shared" si="3"/>
        <v>0.375</v>
      </c>
      <c r="N17" s="283"/>
      <c r="O17" s="289"/>
      <c r="P17" s="97"/>
      <c r="Q17" s="99">
        <f t="shared" si="4"/>
        <v>0</v>
      </c>
      <c r="R17" s="557"/>
      <c r="S17" s="100" t="s">
        <v>32</v>
      </c>
      <c r="T17" s="553"/>
      <c r="U17" s="101">
        <v>0.79166666666666663</v>
      </c>
      <c r="V17" s="101">
        <v>0.45833333333333331</v>
      </c>
      <c r="W17" s="281"/>
      <c r="X17" s="551"/>
      <c r="Y17" s="143"/>
      <c r="Z17" s="51">
        <v>0.375</v>
      </c>
      <c r="AA17" s="355"/>
      <c r="AB17" s="51"/>
      <c r="AC17" s="382" t="s">
        <v>46</v>
      </c>
      <c r="AD17" s="51"/>
      <c r="AE17" s="51">
        <v>0.47916666666666669</v>
      </c>
      <c r="AF17" s="51"/>
      <c r="AG17" s="51"/>
      <c r="AH17" s="51"/>
      <c r="AI17" s="370"/>
      <c r="AJ17" s="52"/>
      <c r="AK17" s="1"/>
    </row>
    <row r="18" spans="1:37" ht="18" customHeight="1" thickBot="1" x14ac:dyDescent="0.35">
      <c r="A18" s="301" t="s">
        <v>15</v>
      </c>
      <c r="B18" s="302">
        <v>16</v>
      </c>
      <c r="C18" s="303" t="s">
        <v>38</v>
      </c>
      <c r="D18" s="304" t="s">
        <v>28</v>
      </c>
      <c r="E18" s="305"/>
      <c r="F18" s="501" t="s">
        <v>103</v>
      </c>
      <c r="G18" s="307">
        <v>0.4375</v>
      </c>
      <c r="H18" s="307">
        <v>0.8125</v>
      </c>
      <c r="I18" s="308">
        <f t="shared" si="2"/>
        <v>0.375</v>
      </c>
      <c r="J18" s="309" t="s">
        <v>31</v>
      </c>
      <c r="K18" s="310">
        <v>0.4375</v>
      </c>
      <c r="L18" s="311">
        <v>0.8125</v>
      </c>
      <c r="M18" s="312">
        <f t="shared" si="3"/>
        <v>0.375</v>
      </c>
      <c r="N18" s="311"/>
      <c r="O18" s="310"/>
      <c r="P18" s="311"/>
      <c r="Q18" s="313">
        <f t="shared" si="4"/>
        <v>0</v>
      </c>
      <c r="R18" s="314"/>
      <c r="S18" s="489" t="s">
        <v>26</v>
      </c>
      <c r="T18" s="315"/>
      <c r="U18" s="311">
        <v>0.79166666666666663</v>
      </c>
      <c r="V18" s="311">
        <v>0.45833333333333331</v>
      </c>
      <c r="W18" s="316"/>
      <c r="X18" s="551"/>
      <c r="Y18" s="218"/>
      <c r="Z18" s="225"/>
      <c r="AA18" s="352"/>
      <c r="AB18" s="220"/>
      <c r="AC18" s="383" t="s">
        <v>46</v>
      </c>
      <c r="AD18" s="220">
        <v>0.375</v>
      </c>
      <c r="AE18" s="220"/>
      <c r="AF18" s="220"/>
      <c r="AG18" s="220"/>
      <c r="AH18" s="225"/>
      <c r="AI18" s="371"/>
      <c r="AJ18" s="193"/>
      <c r="AK18" s="1"/>
    </row>
    <row r="19" spans="1:37" ht="18" customHeight="1" thickBot="1" x14ac:dyDescent="0.35">
      <c r="A19" s="317" t="s">
        <v>9</v>
      </c>
      <c r="B19" s="318">
        <v>17</v>
      </c>
      <c r="C19" s="319"/>
      <c r="D19" s="320" t="s">
        <v>28</v>
      </c>
      <c r="E19" s="321"/>
      <c r="F19" s="322" t="s">
        <v>100</v>
      </c>
      <c r="G19" s="307">
        <v>0.4375</v>
      </c>
      <c r="H19" s="307">
        <v>0.8125</v>
      </c>
      <c r="I19" s="323">
        <f t="shared" si="2"/>
        <v>0.375</v>
      </c>
      <c r="J19" s="324" t="s">
        <v>30</v>
      </c>
      <c r="K19" s="325">
        <v>0.4375</v>
      </c>
      <c r="L19" s="307">
        <v>0.8125</v>
      </c>
      <c r="M19" s="326">
        <f t="shared" si="3"/>
        <v>0.375</v>
      </c>
      <c r="N19" s="327"/>
      <c r="O19" s="325"/>
      <c r="P19" s="307"/>
      <c r="Q19" s="323">
        <f t="shared" si="4"/>
        <v>0</v>
      </c>
      <c r="R19" s="328"/>
      <c r="S19" s="329" t="s">
        <v>29</v>
      </c>
      <c r="T19" s="330"/>
      <c r="U19" s="311">
        <v>0.79166666666666663</v>
      </c>
      <c r="V19" s="311">
        <v>0.45833333333333331</v>
      </c>
      <c r="W19" s="316"/>
      <c r="X19" s="551"/>
      <c r="Y19" s="218"/>
      <c r="Z19" s="219"/>
      <c r="AA19" s="356"/>
      <c r="AB19" s="219">
        <v>0.45833333333333331</v>
      </c>
      <c r="AC19" s="219">
        <v>0.375</v>
      </c>
      <c r="AD19" s="219"/>
      <c r="AE19" s="219"/>
      <c r="AF19" s="219">
        <v>0.125</v>
      </c>
      <c r="AG19" s="219"/>
      <c r="AH19" s="219"/>
      <c r="AI19" s="367"/>
      <c r="AJ19" s="428" t="s">
        <v>62</v>
      </c>
      <c r="AK19" s="1"/>
    </row>
    <row r="20" spans="1:37" ht="18" customHeight="1" thickBot="1" x14ac:dyDescent="0.35">
      <c r="A20" s="317" t="s">
        <v>10</v>
      </c>
      <c r="B20" s="318">
        <v>18</v>
      </c>
      <c r="C20" s="319" t="s">
        <v>101</v>
      </c>
      <c r="D20" s="320" t="s">
        <v>42</v>
      </c>
      <c r="E20" s="321"/>
      <c r="F20" s="331" t="s">
        <v>103</v>
      </c>
      <c r="G20" s="307">
        <v>0.4375</v>
      </c>
      <c r="H20" s="307">
        <v>0.8125</v>
      </c>
      <c r="I20" s="323">
        <f t="shared" si="2"/>
        <v>0.375</v>
      </c>
      <c r="J20" s="324" t="s">
        <v>35</v>
      </c>
      <c r="K20" s="325">
        <v>0.4375</v>
      </c>
      <c r="L20" s="307">
        <v>0.8125</v>
      </c>
      <c r="M20" s="326">
        <f t="shared" si="3"/>
        <v>0.375</v>
      </c>
      <c r="N20" s="332"/>
      <c r="O20" s="325"/>
      <c r="P20" s="307"/>
      <c r="Q20" s="323">
        <f t="shared" si="4"/>
        <v>0</v>
      </c>
      <c r="R20" s="328"/>
      <c r="S20" s="333" t="s">
        <v>43</v>
      </c>
      <c r="T20" s="330"/>
      <c r="U20" s="311">
        <v>0.79166666666666663</v>
      </c>
      <c r="V20" s="311">
        <v>0.45833333333333331</v>
      </c>
      <c r="W20" s="316"/>
      <c r="X20" s="551"/>
      <c r="Y20" s="357">
        <v>0.15833333333333333</v>
      </c>
      <c r="Z20" s="219"/>
      <c r="AA20" s="356"/>
      <c r="AB20" s="219"/>
      <c r="AC20" s="219"/>
      <c r="AD20" s="219"/>
      <c r="AE20" s="219"/>
      <c r="AF20" s="219"/>
      <c r="AG20" s="219"/>
      <c r="AH20" s="219"/>
      <c r="AI20" s="367"/>
      <c r="AJ20" s="192">
        <v>0.45833333333333331</v>
      </c>
      <c r="AK20" s="1"/>
    </row>
    <row r="21" spans="1:37" ht="18" customHeight="1" thickBot="1" x14ac:dyDescent="0.35">
      <c r="A21" s="335" t="s">
        <v>11</v>
      </c>
      <c r="B21" s="336">
        <v>19</v>
      </c>
      <c r="C21" s="337" t="s">
        <v>102</v>
      </c>
      <c r="D21" s="320" t="s">
        <v>42</v>
      </c>
      <c r="E21" s="321"/>
      <c r="F21" s="331" t="s">
        <v>99</v>
      </c>
      <c r="G21" s="307">
        <v>0.4375</v>
      </c>
      <c r="H21" s="307">
        <v>0.8125</v>
      </c>
      <c r="I21" s="323">
        <f>H21-G21</f>
        <v>0.375</v>
      </c>
      <c r="J21" s="338" t="s">
        <v>35</v>
      </c>
      <c r="K21" s="325">
        <v>0.4375</v>
      </c>
      <c r="L21" s="307">
        <v>0.8125</v>
      </c>
      <c r="M21" s="326">
        <f t="shared" si="3"/>
        <v>0.375</v>
      </c>
      <c r="N21" s="327"/>
      <c r="O21" s="325"/>
      <c r="P21" s="307"/>
      <c r="Q21" s="323">
        <f t="shared" si="4"/>
        <v>0</v>
      </c>
      <c r="R21" s="328"/>
      <c r="S21" s="339" t="s">
        <v>30</v>
      </c>
      <c r="T21" s="330"/>
      <c r="U21" s="311">
        <v>0.79166666666666663</v>
      </c>
      <c r="V21" s="311">
        <v>0.45833333333333331</v>
      </c>
      <c r="W21" s="316"/>
      <c r="X21" s="551"/>
      <c r="Y21" s="357">
        <v>0.15833333333333333</v>
      </c>
      <c r="Z21" s="220"/>
      <c r="AA21" s="356"/>
      <c r="AB21" s="220"/>
      <c r="AC21" s="220">
        <v>0.45833333333333331</v>
      </c>
      <c r="AD21" s="220"/>
      <c r="AE21" s="219">
        <v>0.375</v>
      </c>
      <c r="AF21" s="220"/>
      <c r="AG21" s="220"/>
      <c r="AH21" s="220"/>
      <c r="AI21" s="362"/>
      <c r="AJ21" s="191"/>
      <c r="AK21" s="1"/>
    </row>
    <row r="22" spans="1:37" ht="18" customHeight="1" thickBot="1" x14ac:dyDescent="0.35">
      <c r="A22" s="301" t="s">
        <v>12</v>
      </c>
      <c r="B22" s="302">
        <v>20</v>
      </c>
      <c r="C22" s="340"/>
      <c r="D22" s="341" t="s">
        <v>42</v>
      </c>
      <c r="E22" s="342"/>
      <c r="F22" s="343" t="s">
        <v>100</v>
      </c>
      <c r="G22" s="307">
        <v>0.4375</v>
      </c>
      <c r="H22" s="307">
        <v>0.8125</v>
      </c>
      <c r="I22" s="344">
        <f t="shared" si="2"/>
        <v>0.375</v>
      </c>
      <c r="J22" s="345" t="s">
        <v>32</v>
      </c>
      <c r="K22" s="346">
        <v>0.4375</v>
      </c>
      <c r="L22" s="347">
        <v>0.8125</v>
      </c>
      <c r="M22" s="348">
        <f t="shared" si="3"/>
        <v>0.375</v>
      </c>
      <c r="N22" s="349"/>
      <c r="O22" s="346"/>
      <c r="P22" s="347"/>
      <c r="Q22" s="344">
        <f t="shared" si="4"/>
        <v>0</v>
      </c>
      <c r="R22" s="350"/>
      <c r="S22" s="333" t="s">
        <v>27</v>
      </c>
      <c r="T22" s="351"/>
      <c r="U22" s="311">
        <v>0.79166666666666663</v>
      </c>
      <c r="V22" s="311">
        <v>0.45833333333333331</v>
      </c>
      <c r="W22" s="316"/>
      <c r="X22" s="551"/>
      <c r="Y22" s="358">
        <v>0.15833333333333333</v>
      </c>
      <c r="Z22" s="225">
        <v>0.45833333333333331</v>
      </c>
      <c r="AA22" s="355"/>
      <c r="AB22" s="228"/>
      <c r="AC22" s="228"/>
      <c r="AD22" s="228"/>
      <c r="AE22" s="228"/>
      <c r="AF22" s="228"/>
      <c r="AG22" s="228"/>
      <c r="AH22" s="225"/>
      <c r="AI22" s="372"/>
      <c r="AJ22" s="194"/>
      <c r="AK22" s="1"/>
    </row>
    <row r="23" spans="1:37" ht="18" customHeight="1" thickBot="1" x14ac:dyDescent="0.35">
      <c r="A23" s="45" t="s">
        <v>13</v>
      </c>
      <c r="B23" s="42">
        <v>21</v>
      </c>
      <c r="C23" s="185"/>
      <c r="D23" s="81" t="s">
        <v>42</v>
      </c>
      <c r="E23" s="83"/>
      <c r="F23" s="85" t="s">
        <v>99</v>
      </c>
      <c r="G23" s="86">
        <v>0.4375</v>
      </c>
      <c r="H23" s="86">
        <v>0.8125</v>
      </c>
      <c r="I23" s="87"/>
      <c r="J23" s="88" t="s">
        <v>34</v>
      </c>
      <c r="K23" s="89">
        <v>0.4375</v>
      </c>
      <c r="L23" s="86">
        <v>0.8125</v>
      </c>
      <c r="M23" s="296">
        <f t="shared" si="3"/>
        <v>0.375</v>
      </c>
      <c r="N23" s="284"/>
      <c r="O23" s="288"/>
      <c r="P23" s="86"/>
      <c r="Q23" s="87">
        <f t="shared" si="4"/>
        <v>0</v>
      </c>
      <c r="R23" s="556"/>
      <c r="S23" s="90" t="s">
        <v>44</v>
      </c>
      <c r="T23" s="552" t="s">
        <v>75</v>
      </c>
      <c r="U23" s="91">
        <v>0.79166666666666663</v>
      </c>
      <c r="V23" s="91">
        <v>0.45833333333333331</v>
      </c>
      <c r="W23" s="281"/>
      <c r="X23" s="551"/>
      <c r="Y23" s="359"/>
      <c r="Z23" s="49"/>
      <c r="AA23" s="352"/>
      <c r="AB23" s="49"/>
      <c r="AC23" s="49"/>
      <c r="AD23" s="49"/>
      <c r="AE23" s="49"/>
      <c r="AF23" s="49"/>
      <c r="AG23" s="49">
        <v>0.375</v>
      </c>
      <c r="AH23" s="49"/>
      <c r="AI23" s="364">
        <v>0.47916666666666669</v>
      </c>
      <c r="AJ23" s="50"/>
      <c r="AK23" s="1"/>
    </row>
    <row r="24" spans="1:37" ht="18" customHeight="1" thickBot="1" x14ac:dyDescent="0.35">
      <c r="A24" s="64" t="s">
        <v>14</v>
      </c>
      <c r="B24" s="65">
        <v>22</v>
      </c>
      <c r="C24" s="186"/>
      <c r="D24" s="82" t="s">
        <v>42</v>
      </c>
      <c r="E24" s="84"/>
      <c r="F24" s="93"/>
      <c r="G24" s="94"/>
      <c r="H24" s="94"/>
      <c r="I24" s="95"/>
      <c r="J24" s="96" t="s">
        <v>27</v>
      </c>
      <c r="K24" s="98">
        <v>0.4375</v>
      </c>
      <c r="L24" s="97">
        <v>0.8125</v>
      </c>
      <c r="M24" s="297">
        <f t="shared" si="3"/>
        <v>0.375</v>
      </c>
      <c r="N24" s="283"/>
      <c r="O24" s="289"/>
      <c r="P24" s="97"/>
      <c r="Q24" s="99">
        <f t="shared" si="4"/>
        <v>0</v>
      </c>
      <c r="R24" s="557"/>
      <c r="S24" s="100" t="s">
        <v>34</v>
      </c>
      <c r="T24" s="553"/>
      <c r="U24" s="101">
        <v>0.79166666666666663</v>
      </c>
      <c r="V24" s="101">
        <v>0.39583333333333331</v>
      </c>
      <c r="W24" s="281"/>
      <c r="X24" s="551"/>
      <c r="Y24" s="360"/>
      <c r="Z24" s="51">
        <v>0.375</v>
      </c>
      <c r="AA24" s="355"/>
      <c r="AB24" s="51"/>
      <c r="AC24" s="51"/>
      <c r="AD24" s="51"/>
      <c r="AE24" s="51"/>
      <c r="AF24" s="51"/>
      <c r="AG24" s="51">
        <v>0.47916666666666669</v>
      </c>
      <c r="AH24" s="51"/>
      <c r="AI24" s="370"/>
      <c r="AJ24" s="52"/>
      <c r="AK24" s="1"/>
    </row>
    <row r="25" spans="1:37" ht="18" customHeight="1" thickBot="1" x14ac:dyDescent="0.35">
      <c r="A25" s="169" t="s">
        <v>15</v>
      </c>
      <c r="B25" s="170">
        <v>23</v>
      </c>
      <c r="C25" s="182" t="s">
        <v>36</v>
      </c>
      <c r="D25" s="171" t="s">
        <v>28</v>
      </c>
      <c r="E25" s="198"/>
      <c r="F25" s="172" t="s">
        <v>99</v>
      </c>
      <c r="G25" s="153">
        <v>0.58333333333333337</v>
      </c>
      <c r="H25" s="153">
        <v>0.83333333333333337</v>
      </c>
      <c r="I25" s="173"/>
      <c r="J25" s="502" t="s">
        <v>44</v>
      </c>
      <c r="K25" s="285">
        <v>0.58333333333333337</v>
      </c>
      <c r="L25" s="248">
        <v>0.85416666666666663</v>
      </c>
      <c r="M25" s="290">
        <f t="shared" si="3"/>
        <v>0.27083333333333326</v>
      </c>
      <c r="N25" s="248" t="s">
        <v>31</v>
      </c>
      <c r="O25" s="285">
        <v>0.625</v>
      </c>
      <c r="P25" s="248">
        <v>0.875</v>
      </c>
      <c r="Q25" s="299">
        <f t="shared" si="4"/>
        <v>0.25</v>
      </c>
      <c r="R25" s="262"/>
      <c r="S25" s="276" t="s">
        <v>32</v>
      </c>
      <c r="T25" s="249"/>
      <c r="U25" s="248">
        <v>0.85416666666666663</v>
      </c>
      <c r="V25" s="248">
        <v>0.39583333333333331</v>
      </c>
      <c r="W25" s="250"/>
      <c r="X25" s="551"/>
      <c r="Y25" s="218"/>
      <c r="Z25" s="225"/>
      <c r="AA25" s="356"/>
      <c r="AB25" s="220"/>
      <c r="AC25" s="220"/>
      <c r="AD25" s="220">
        <v>0.25</v>
      </c>
      <c r="AE25" s="220">
        <v>0.375</v>
      </c>
      <c r="AF25" s="220"/>
      <c r="AG25" s="220"/>
      <c r="AH25" s="225"/>
      <c r="AI25" s="371">
        <v>0.27083333333333331</v>
      </c>
      <c r="AJ25" s="193"/>
      <c r="AK25" s="1"/>
    </row>
    <row r="26" spans="1:37" ht="18" customHeight="1" thickBot="1" x14ac:dyDescent="0.35">
      <c r="A26" s="62" t="s">
        <v>9</v>
      </c>
      <c r="B26" s="63">
        <v>24</v>
      </c>
      <c r="C26" s="183"/>
      <c r="D26" s="174" t="s">
        <v>28</v>
      </c>
      <c r="E26" s="429" t="s">
        <v>35</v>
      </c>
      <c r="F26" s="175" t="s">
        <v>99</v>
      </c>
      <c r="G26" s="103">
        <v>0.41666666666666669</v>
      </c>
      <c r="H26" s="103">
        <v>0.83333333333333337</v>
      </c>
      <c r="I26" s="113">
        <f t="shared" ref="I26:I31" si="5">H26-G26</f>
        <v>0.41666666666666669</v>
      </c>
      <c r="J26" s="492" t="s">
        <v>34</v>
      </c>
      <c r="K26" s="286">
        <v>0.58333333333333337</v>
      </c>
      <c r="L26" s="247">
        <v>0.85416666666666663</v>
      </c>
      <c r="M26" s="291">
        <f t="shared" si="3"/>
        <v>0.27083333333333326</v>
      </c>
      <c r="N26" s="272" t="s">
        <v>30</v>
      </c>
      <c r="O26" s="286">
        <v>0.625</v>
      </c>
      <c r="P26" s="247">
        <v>0.875</v>
      </c>
      <c r="Q26" s="251">
        <f t="shared" si="4"/>
        <v>0.25</v>
      </c>
      <c r="R26" s="263"/>
      <c r="S26" s="156" t="s">
        <v>31</v>
      </c>
      <c r="T26" s="252"/>
      <c r="U26" s="247">
        <v>0.85416666666666663</v>
      </c>
      <c r="V26" s="247">
        <v>0.39583333333333331</v>
      </c>
      <c r="W26" s="250"/>
      <c r="X26" s="551"/>
      <c r="Y26" s="218"/>
      <c r="Z26" s="219"/>
      <c r="AA26" s="354"/>
      <c r="AB26" s="219">
        <v>0.125</v>
      </c>
      <c r="AC26" s="219">
        <v>0.375</v>
      </c>
      <c r="AD26" s="219">
        <v>0.375</v>
      </c>
      <c r="AE26" s="219">
        <v>0.125</v>
      </c>
      <c r="AF26" s="219">
        <v>0.39583333333333331</v>
      </c>
      <c r="AG26" s="219">
        <v>0.125</v>
      </c>
      <c r="AH26" s="219"/>
      <c r="AI26" s="367"/>
      <c r="AJ26" s="192"/>
      <c r="AK26" s="1"/>
    </row>
    <row r="27" spans="1:37" ht="18" customHeight="1" thickBot="1" x14ac:dyDescent="0.35">
      <c r="A27" s="60" t="s">
        <v>10</v>
      </c>
      <c r="B27" s="61">
        <v>25</v>
      </c>
      <c r="C27" s="183"/>
      <c r="D27" s="174" t="s">
        <v>28</v>
      </c>
      <c r="E27" s="229"/>
      <c r="F27" s="199" t="s">
        <v>103</v>
      </c>
      <c r="G27" s="103">
        <v>0.47916666666666669</v>
      </c>
      <c r="H27" s="103">
        <v>0.89583333333333337</v>
      </c>
      <c r="I27" s="113">
        <f t="shared" si="5"/>
        <v>0.41666666666666669</v>
      </c>
      <c r="J27" s="492" t="s">
        <v>34</v>
      </c>
      <c r="K27" s="286">
        <v>0.47916666666666669</v>
      </c>
      <c r="L27" s="247">
        <v>0.85416666666666663</v>
      </c>
      <c r="M27" s="291">
        <f t="shared" si="3"/>
        <v>0.37499999999999994</v>
      </c>
      <c r="N27" s="274" t="s">
        <v>29</v>
      </c>
      <c r="O27" s="286">
        <v>0.47916666666666669</v>
      </c>
      <c r="P27" s="247">
        <v>0.875</v>
      </c>
      <c r="Q27" s="251">
        <f t="shared" si="4"/>
        <v>0.39583333333333331</v>
      </c>
      <c r="R27" s="263"/>
      <c r="S27" s="277" t="s">
        <v>43</v>
      </c>
      <c r="T27" s="252"/>
      <c r="U27" s="254">
        <v>0.85416666666666663</v>
      </c>
      <c r="V27" s="254">
        <v>0.39583333333333331</v>
      </c>
      <c r="W27" s="250"/>
      <c r="X27" s="551"/>
      <c r="Y27" s="218"/>
      <c r="Z27" s="219"/>
      <c r="AA27" s="354"/>
      <c r="AB27" s="219">
        <v>0.39583333333333331</v>
      </c>
      <c r="AC27" s="219"/>
      <c r="AD27" s="219"/>
      <c r="AE27" s="219"/>
      <c r="AF27" s="219"/>
      <c r="AG27" s="219">
        <v>0.375</v>
      </c>
      <c r="AH27" s="219"/>
      <c r="AI27" s="367"/>
      <c r="AJ27" s="192">
        <v>0.375</v>
      </c>
      <c r="AK27" s="1"/>
    </row>
    <row r="28" spans="1:37" ht="18" customHeight="1" thickBot="1" x14ac:dyDescent="0.35">
      <c r="A28" s="62" t="s">
        <v>11</v>
      </c>
      <c r="B28" s="63">
        <v>26</v>
      </c>
      <c r="C28" s="500" t="s">
        <v>40</v>
      </c>
      <c r="D28" s="174" t="s">
        <v>28</v>
      </c>
      <c r="E28" s="229"/>
      <c r="F28" s="199" t="s">
        <v>100</v>
      </c>
      <c r="G28" s="103">
        <v>0.41666666666666669</v>
      </c>
      <c r="H28" s="103">
        <v>0.89583333333333337</v>
      </c>
      <c r="I28" s="113">
        <f t="shared" si="5"/>
        <v>0.47916666666666669</v>
      </c>
      <c r="J28" s="491" t="s">
        <v>31</v>
      </c>
      <c r="K28" s="286">
        <v>0.58333333333333337</v>
      </c>
      <c r="L28" s="247">
        <v>0.85416666666666663</v>
      </c>
      <c r="M28" s="291">
        <f t="shared" si="3"/>
        <v>0.27083333333333326</v>
      </c>
      <c r="N28" s="272" t="s">
        <v>35</v>
      </c>
      <c r="O28" s="286">
        <v>0.625</v>
      </c>
      <c r="P28" s="247">
        <v>0.875</v>
      </c>
      <c r="Q28" s="251">
        <f t="shared" si="4"/>
        <v>0.25</v>
      </c>
      <c r="R28" s="263"/>
      <c r="S28" s="490" t="s">
        <v>26</v>
      </c>
      <c r="T28" s="252"/>
      <c r="U28" s="247">
        <v>0.85416666666666663</v>
      </c>
      <c r="V28" s="247">
        <v>0.39583333333333331</v>
      </c>
      <c r="W28" s="250"/>
      <c r="X28" s="551"/>
      <c r="Y28" s="218"/>
      <c r="Z28" s="220"/>
      <c r="AA28" s="356"/>
      <c r="AB28" s="220"/>
      <c r="AC28" s="220"/>
      <c r="AD28" s="220">
        <v>0.27083333333333331</v>
      </c>
      <c r="AE28" s="219"/>
      <c r="AF28" s="220"/>
      <c r="AG28" s="220"/>
      <c r="AH28" s="220"/>
      <c r="AI28" s="362"/>
      <c r="AJ28" s="191"/>
      <c r="AK28" s="1"/>
    </row>
    <row r="29" spans="1:37" ht="18" customHeight="1" thickBot="1" x14ac:dyDescent="0.35">
      <c r="A29" s="58" t="s">
        <v>12</v>
      </c>
      <c r="B29" s="59">
        <v>27</v>
      </c>
      <c r="C29" s="184"/>
      <c r="D29" s="176" t="s">
        <v>28</v>
      </c>
      <c r="E29" s="384" t="s">
        <v>30</v>
      </c>
      <c r="F29" s="177" t="s">
        <v>99</v>
      </c>
      <c r="G29" s="103">
        <v>0.58333333333333337</v>
      </c>
      <c r="H29" s="103">
        <v>0.875</v>
      </c>
      <c r="I29" s="178">
        <f t="shared" si="5"/>
        <v>0.29166666666666663</v>
      </c>
      <c r="J29" s="493" t="s">
        <v>32</v>
      </c>
      <c r="K29" s="287">
        <v>0.58333333333333337</v>
      </c>
      <c r="L29" s="293">
        <v>0.8125</v>
      </c>
      <c r="M29" s="292">
        <f t="shared" si="3"/>
        <v>0.22916666666666663</v>
      </c>
      <c r="N29" s="273" t="s">
        <v>29</v>
      </c>
      <c r="O29" s="287">
        <v>0.625</v>
      </c>
      <c r="P29" s="293">
        <v>0.8125</v>
      </c>
      <c r="Q29" s="300">
        <f t="shared" si="4"/>
        <v>0.1875</v>
      </c>
      <c r="R29" s="298"/>
      <c r="S29" s="279" t="s">
        <v>27</v>
      </c>
      <c r="T29" s="257"/>
      <c r="U29" s="256">
        <v>0.79166666666666663</v>
      </c>
      <c r="V29" s="256">
        <v>0.45833333333333331</v>
      </c>
      <c r="W29" s="250"/>
      <c r="X29" s="551"/>
      <c r="Y29" s="227"/>
      <c r="Z29" s="225">
        <v>0.45833333333333331</v>
      </c>
      <c r="AA29" s="353"/>
      <c r="AB29" s="228">
        <v>0.1875</v>
      </c>
      <c r="AC29" s="228">
        <v>0.22916666666666666</v>
      </c>
      <c r="AD29" s="228"/>
      <c r="AE29" s="228">
        <v>0.22916666666666666</v>
      </c>
      <c r="AF29" s="228"/>
      <c r="AG29" s="228"/>
      <c r="AH29" s="225"/>
      <c r="AI29" s="372"/>
      <c r="AJ29" s="194"/>
      <c r="AK29" s="1"/>
    </row>
    <row r="30" spans="1:37" ht="18" customHeight="1" thickBot="1" x14ac:dyDescent="0.35">
      <c r="A30" s="45" t="s">
        <v>13</v>
      </c>
      <c r="B30" s="42">
        <v>28</v>
      </c>
      <c r="C30" s="185"/>
      <c r="D30" s="81" t="s">
        <v>28</v>
      </c>
      <c r="E30" s="83"/>
      <c r="F30" s="85" t="s">
        <v>103</v>
      </c>
      <c r="G30" s="86">
        <v>0.4375</v>
      </c>
      <c r="H30" s="86">
        <v>0.8125</v>
      </c>
      <c r="I30" s="87">
        <f t="shared" si="5"/>
        <v>0.375</v>
      </c>
      <c r="J30" s="88" t="s">
        <v>31</v>
      </c>
      <c r="K30" s="89">
        <v>0.4375</v>
      </c>
      <c r="L30" s="86">
        <v>0.8125</v>
      </c>
      <c r="M30" s="296">
        <f t="shared" si="3"/>
        <v>0.375</v>
      </c>
      <c r="N30" s="284"/>
      <c r="O30" s="288"/>
      <c r="P30" s="86"/>
      <c r="Q30" s="87">
        <f t="shared" si="4"/>
        <v>0</v>
      </c>
      <c r="R30" s="556"/>
      <c r="S30" s="90" t="s">
        <v>32</v>
      </c>
      <c r="T30" s="554" t="s">
        <v>54</v>
      </c>
      <c r="U30" s="91">
        <v>0.79166666666666663</v>
      </c>
      <c r="V30" s="91">
        <v>0.45833333333333331</v>
      </c>
      <c r="W30" s="281"/>
      <c r="X30" s="551"/>
      <c r="Y30" s="116"/>
      <c r="Z30" s="49"/>
      <c r="AA30" s="352"/>
      <c r="AB30" s="49"/>
      <c r="AC30" s="49">
        <v>0.375</v>
      </c>
      <c r="AD30" s="49"/>
      <c r="AE30" s="49">
        <v>0.47916666666666669</v>
      </c>
      <c r="AF30" s="49"/>
      <c r="AG30" s="49"/>
      <c r="AH30" s="49"/>
      <c r="AI30" s="364"/>
      <c r="AJ30" s="50"/>
      <c r="AK30" s="148"/>
    </row>
    <row r="31" spans="1:37" ht="18" customHeight="1" thickBot="1" x14ac:dyDescent="0.35">
      <c r="A31" s="43" t="s">
        <v>14</v>
      </c>
      <c r="B31" s="46">
        <v>1</v>
      </c>
      <c r="C31" s="186"/>
      <c r="D31" s="82" t="s">
        <v>28</v>
      </c>
      <c r="E31" s="84"/>
      <c r="F31" s="112" t="s">
        <v>100</v>
      </c>
      <c r="G31" s="94">
        <v>0.4375</v>
      </c>
      <c r="H31" s="94">
        <v>0.8125</v>
      </c>
      <c r="I31" s="99">
        <f t="shared" si="5"/>
        <v>0.375</v>
      </c>
      <c r="J31" s="96" t="s">
        <v>27</v>
      </c>
      <c r="K31" s="98">
        <v>0.4375</v>
      </c>
      <c r="L31" s="97">
        <v>0.8125</v>
      </c>
      <c r="M31" s="297">
        <f t="shared" si="3"/>
        <v>0.375</v>
      </c>
      <c r="N31" s="283"/>
      <c r="O31" s="289"/>
      <c r="P31" s="97"/>
      <c r="Q31" s="99">
        <f t="shared" si="4"/>
        <v>0</v>
      </c>
      <c r="R31" s="557"/>
      <c r="S31" s="100" t="s">
        <v>30</v>
      </c>
      <c r="T31" s="555"/>
      <c r="U31" s="101">
        <v>0.79166666666666663</v>
      </c>
      <c r="V31" s="101">
        <v>0.39583333333333331</v>
      </c>
      <c r="W31" s="281"/>
      <c r="X31" s="551"/>
      <c r="Y31" s="143"/>
      <c r="Z31" s="51">
        <v>0.375</v>
      </c>
      <c r="AA31" s="355"/>
      <c r="AB31" s="51"/>
      <c r="AC31" s="51">
        <v>0.47916666666666669</v>
      </c>
      <c r="AD31" s="51"/>
      <c r="AE31" s="51"/>
      <c r="AF31" s="51"/>
      <c r="AG31" s="51"/>
      <c r="AH31" s="51"/>
      <c r="AI31" s="370"/>
      <c r="AJ31" s="52"/>
      <c r="AK31" s="148"/>
    </row>
    <row r="32" spans="1:37" ht="18" customHeight="1" thickBot="1" x14ac:dyDescent="0.35">
      <c r="A32" s="210"/>
      <c r="B32" s="211"/>
      <c r="C32" s="211"/>
      <c r="D32" s="211"/>
      <c r="E32" s="211"/>
      <c r="F32" s="211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211"/>
      <c r="R32" s="211"/>
      <c r="S32" s="211"/>
      <c r="T32" s="208"/>
      <c r="U32" s="212"/>
      <c r="V32" s="212"/>
      <c r="W32" s="213" t="e">
        <f>SUM(#REF!)</f>
        <v>#REF!</v>
      </c>
      <c r="X32" s="187"/>
      <c r="Y32" s="209">
        <f t="shared" ref="Y32:AJ32" si="6">SUM(Y4:Y31)</f>
        <v>1.3499999999999996</v>
      </c>
      <c r="Z32" s="209">
        <f t="shared" si="6"/>
        <v>3.3333333333333335</v>
      </c>
      <c r="AA32" s="209">
        <f t="shared" si="6"/>
        <v>0.75</v>
      </c>
      <c r="AB32" s="209">
        <f t="shared" si="6"/>
        <v>2.729166666666667</v>
      </c>
      <c r="AC32" s="209">
        <f>SUM(AC4:AC31)</f>
        <v>3.895833333333333</v>
      </c>
      <c r="AD32" s="209">
        <f t="shared" si="6"/>
        <v>3.291666666666667</v>
      </c>
      <c r="AE32" s="209">
        <f t="shared" si="6"/>
        <v>3.708333333333333</v>
      </c>
      <c r="AF32" s="209">
        <f t="shared" si="6"/>
        <v>1.0416666666666665</v>
      </c>
      <c r="AG32" s="209">
        <f t="shared" si="6"/>
        <v>2.3125</v>
      </c>
      <c r="AH32" s="209">
        <f t="shared" si="6"/>
        <v>0</v>
      </c>
      <c r="AI32" s="209">
        <f t="shared" ref="AI32" si="7">SUM(AI4:AI31)</f>
        <v>1.0208333333333333</v>
      </c>
      <c r="AJ32" s="209">
        <f t="shared" si="6"/>
        <v>1.4375</v>
      </c>
      <c r="AK32" s="148"/>
    </row>
    <row r="33" spans="1:37" ht="40.25" customHeight="1" thickBot="1" x14ac:dyDescent="0.35">
      <c r="A33" s="19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35"/>
      <c r="M33" s="35"/>
      <c r="N33" s="35"/>
      <c r="O33" s="35"/>
      <c r="P33" s="36"/>
      <c r="Q33" s="36"/>
      <c r="R33" s="36"/>
      <c r="S33" s="36"/>
      <c r="T33" s="37"/>
      <c r="U33" s="13"/>
      <c r="V33" s="14"/>
      <c r="W33" s="15"/>
      <c r="X33" s="134"/>
      <c r="Y33" s="145" t="s">
        <v>26</v>
      </c>
      <c r="Z33" s="217" t="s">
        <v>27</v>
      </c>
      <c r="AA33" s="146" t="s">
        <v>28</v>
      </c>
      <c r="AB33" s="146" t="s">
        <v>29</v>
      </c>
      <c r="AC33" s="146" t="s">
        <v>30</v>
      </c>
      <c r="AD33" s="146" t="s">
        <v>31</v>
      </c>
      <c r="AE33" s="146" t="s">
        <v>32</v>
      </c>
      <c r="AF33" s="146" t="s">
        <v>33</v>
      </c>
      <c r="AG33" s="146" t="s">
        <v>34</v>
      </c>
      <c r="AH33" s="146" t="s">
        <v>35</v>
      </c>
      <c r="AI33" s="146" t="s">
        <v>44</v>
      </c>
      <c r="AJ33" s="147" t="s">
        <v>43</v>
      </c>
      <c r="AK33" s="148"/>
    </row>
    <row r="34" spans="1:37" ht="18" customHeight="1" x14ac:dyDescent="0.3">
      <c r="A34" s="20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4"/>
      <c r="M34" s="4"/>
      <c r="N34" s="3"/>
      <c r="O34" s="4"/>
      <c r="P34" s="6"/>
      <c r="Q34" s="6"/>
      <c r="R34" s="6"/>
      <c r="S34" s="6"/>
      <c r="T34" s="3"/>
      <c r="U34" s="7"/>
      <c r="V34" s="8" t="s">
        <v>1</v>
      </c>
      <c r="W34" s="11"/>
      <c r="X34" s="129">
        <v>1</v>
      </c>
      <c r="Y34" s="119">
        <f t="shared" ref="Y34:AJ34" si="8">SUM(Y4:Y10)</f>
        <v>0.875</v>
      </c>
      <c r="Z34" s="117">
        <f t="shared" si="8"/>
        <v>0.83333333333333326</v>
      </c>
      <c r="AA34" s="123">
        <f t="shared" si="8"/>
        <v>0.75</v>
      </c>
      <c r="AB34" s="117">
        <f t="shared" si="8"/>
        <v>0.8125</v>
      </c>
      <c r="AC34" s="123">
        <f t="shared" si="8"/>
        <v>0.85416666666666663</v>
      </c>
      <c r="AD34" s="117">
        <f t="shared" si="8"/>
        <v>1.625</v>
      </c>
      <c r="AE34" s="117">
        <f t="shared" si="8"/>
        <v>0.66666666666666663</v>
      </c>
      <c r="AF34" s="117">
        <f t="shared" si="8"/>
        <v>0.125</v>
      </c>
      <c r="AG34" s="123">
        <f t="shared" si="8"/>
        <v>0.375</v>
      </c>
      <c r="AH34" s="117">
        <f t="shared" si="8"/>
        <v>0</v>
      </c>
      <c r="AI34" s="117">
        <f t="shared" ref="AI34" si="9">SUM(AI4:AI10)</f>
        <v>0</v>
      </c>
      <c r="AJ34" s="126">
        <f t="shared" si="8"/>
        <v>0</v>
      </c>
      <c r="AK34" s="148"/>
    </row>
    <row r="35" spans="1:37" ht="18" customHeight="1" x14ac:dyDescent="0.3">
      <c r="A35" s="2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4"/>
      <c r="M35" s="4"/>
      <c r="N35" s="3"/>
      <c r="O35" s="4"/>
      <c r="P35" s="6"/>
      <c r="Q35" s="6"/>
      <c r="R35" s="6"/>
      <c r="S35" s="6"/>
      <c r="T35" s="3"/>
      <c r="U35" s="7"/>
      <c r="V35" s="8" t="s">
        <v>16</v>
      </c>
      <c r="W35" s="11"/>
      <c r="X35" s="129">
        <v>2</v>
      </c>
      <c r="Y35" s="120">
        <f t="shared" ref="Y35:AJ35" si="10">SUM(Y11:Y17)</f>
        <v>0</v>
      </c>
      <c r="Z35" s="118">
        <f t="shared" si="10"/>
        <v>0.83333333333333326</v>
      </c>
      <c r="AA35" s="124">
        <f t="shared" si="10"/>
        <v>0</v>
      </c>
      <c r="AB35" s="118">
        <f t="shared" si="10"/>
        <v>0.74999999999999989</v>
      </c>
      <c r="AC35" s="124">
        <f t="shared" si="10"/>
        <v>0.75</v>
      </c>
      <c r="AD35" s="118">
        <f t="shared" si="10"/>
        <v>0.39583333333333331</v>
      </c>
      <c r="AE35" s="118">
        <f t="shared" si="10"/>
        <v>1.4583333333333333</v>
      </c>
      <c r="AF35" s="118">
        <f t="shared" si="10"/>
        <v>0.39583333333333331</v>
      </c>
      <c r="AG35" s="124">
        <f t="shared" si="10"/>
        <v>0.58333333333333326</v>
      </c>
      <c r="AH35" s="118">
        <f t="shared" si="10"/>
        <v>0</v>
      </c>
      <c r="AI35" s="118">
        <f t="shared" ref="AI35" si="11">SUM(AI11:AI17)</f>
        <v>0.27083333333333331</v>
      </c>
      <c r="AJ35" s="127">
        <f t="shared" si="10"/>
        <v>0.60416666666666674</v>
      </c>
      <c r="AK35" s="148"/>
    </row>
    <row r="36" spans="1:37" ht="18" customHeight="1" x14ac:dyDescent="0.3">
      <c r="A36" s="20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4"/>
      <c r="M36" s="4"/>
      <c r="N36" s="3"/>
      <c r="O36" s="4"/>
      <c r="P36" s="6"/>
      <c r="Q36" s="6"/>
      <c r="R36" s="6"/>
      <c r="S36" s="6"/>
      <c r="T36" s="3"/>
      <c r="U36" s="7"/>
      <c r="V36" s="8" t="s">
        <v>1</v>
      </c>
      <c r="W36" s="11"/>
      <c r="X36" s="129">
        <v>3</v>
      </c>
      <c r="Y36" s="120">
        <f t="shared" ref="Y36:AJ36" si="12">SUM(Y18:Y24)</f>
        <v>0.47499999999999998</v>
      </c>
      <c r="Z36" s="118">
        <f t="shared" si="12"/>
        <v>0.83333333333333326</v>
      </c>
      <c r="AA36" s="124">
        <f t="shared" si="12"/>
        <v>0</v>
      </c>
      <c r="AB36" s="118">
        <f t="shared" si="12"/>
        <v>0.45833333333333331</v>
      </c>
      <c r="AC36" s="124">
        <f t="shared" si="12"/>
        <v>0.83333333333333326</v>
      </c>
      <c r="AD36" s="118">
        <f t="shared" si="12"/>
        <v>0.375</v>
      </c>
      <c r="AE36" s="118">
        <f t="shared" si="12"/>
        <v>0.375</v>
      </c>
      <c r="AF36" s="118">
        <f t="shared" si="12"/>
        <v>0.125</v>
      </c>
      <c r="AG36" s="124">
        <f t="shared" si="12"/>
        <v>0.85416666666666674</v>
      </c>
      <c r="AH36" s="118">
        <f t="shared" si="12"/>
        <v>0</v>
      </c>
      <c r="AI36" s="118">
        <f t="shared" ref="AI36" si="13">SUM(AI18:AI24)</f>
        <v>0.47916666666666669</v>
      </c>
      <c r="AJ36" s="127">
        <f t="shared" si="12"/>
        <v>0.45833333333333331</v>
      </c>
      <c r="AK36" s="148"/>
    </row>
    <row r="37" spans="1:37" ht="18" customHeight="1" x14ac:dyDescent="0.3">
      <c r="A37" s="20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4"/>
      <c r="M37" s="4"/>
      <c r="N37" s="3"/>
      <c r="O37" s="4"/>
      <c r="P37" s="6"/>
      <c r="Q37" s="6"/>
      <c r="R37" s="6"/>
      <c r="S37" s="6"/>
      <c r="T37" s="3"/>
      <c r="U37" s="7"/>
      <c r="V37" s="8" t="s">
        <v>1</v>
      </c>
      <c r="W37" s="11"/>
      <c r="X37" s="129">
        <v>4</v>
      </c>
      <c r="Y37" s="121">
        <f t="shared" ref="Y37:AJ37" si="14">SUM(Y25:Y31)</f>
        <v>0</v>
      </c>
      <c r="Z37" s="122">
        <f t="shared" si="14"/>
        <v>0.83333333333333326</v>
      </c>
      <c r="AA37" s="125">
        <f t="shared" si="14"/>
        <v>0</v>
      </c>
      <c r="AB37" s="122">
        <f t="shared" si="14"/>
        <v>0.70833333333333326</v>
      </c>
      <c r="AC37" s="125">
        <f t="shared" si="14"/>
        <v>1.4583333333333333</v>
      </c>
      <c r="AD37" s="122">
        <f t="shared" si="14"/>
        <v>0.89583333333333326</v>
      </c>
      <c r="AE37" s="122">
        <f t="shared" si="14"/>
        <v>1.2083333333333333</v>
      </c>
      <c r="AF37" s="122">
        <f t="shared" si="14"/>
        <v>0.39583333333333331</v>
      </c>
      <c r="AG37" s="125">
        <f t="shared" si="14"/>
        <v>0.5</v>
      </c>
      <c r="AH37" s="122">
        <f t="shared" si="14"/>
        <v>0</v>
      </c>
      <c r="AI37" s="122">
        <f t="shared" ref="AI37" si="15">SUM(AI25:AI31)</f>
        <v>0.27083333333333331</v>
      </c>
      <c r="AJ37" s="128">
        <f t="shared" si="14"/>
        <v>0.375</v>
      </c>
      <c r="AK37" s="148"/>
    </row>
    <row r="38" spans="1:37" ht="18" customHeight="1" thickBot="1" x14ac:dyDescent="0.35">
      <c r="A38" s="20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4"/>
      <c r="M38" s="4"/>
      <c r="N38" s="3"/>
      <c r="O38" s="4"/>
      <c r="P38" s="6"/>
      <c r="Q38" s="6"/>
      <c r="R38" s="6"/>
      <c r="S38" s="6"/>
      <c r="T38" s="3"/>
      <c r="U38" s="130"/>
      <c r="V38" s="131" t="s">
        <v>1</v>
      </c>
      <c r="W38" s="132"/>
      <c r="X38" s="133">
        <v>5</v>
      </c>
      <c r="Y38" s="151" t="e">
        <f>SUM(#REF!)</f>
        <v>#REF!</v>
      </c>
      <c r="Z38" s="151" t="e">
        <f>SUM(#REF!)</f>
        <v>#REF!</v>
      </c>
      <c r="AA38" s="151" t="e">
        <f>SUM(#REF!)</f>
        <v>#REF!</v>
      </c>
      <c r="AB38" s="151" t="e">
        <f>SUM(#REF!)</f>
        <v>#REF!</v>
      </c>
      <c r="AC38" s="151" t="e">
        <f>SUM(#REF!)</f>
        <v>#REF!</v>
      </c>
      <c r="AD38" s="151" t="e">
        <f>SUM(#REF!)</f>
        <v>#REF!</v>
      </c>
      <c r="AE38" s="151" t="e">
        <f>SUM(#REF!)</f>
        <v>#REF!</v>
      </c>
      <c r="AF38" s="151" t="e">
        <f>SUM(#REF!)</f>
        <v>#REF!</v>
      </c>
      <c r="AG38" s="151" t="e">
        <f>SUM(#REF!)</f>
        <v>#REF!</v>
      </c>
      <c r="AH38" s="151" t="e">
        <f>SUM(#REF!)</f>
        <v>#REF!</v>
      </c>
      <c r="AI38" s="151" t="e">
        <f>SUM(#REF!)</f>
        <v>#REF!</v>
      </c>
      <c r="AJ38" s="202" t="e">
        <f>SUM(#REF!)</f>
        <v>#REF!</v>
      </c>
      <c r="AK38" s="1"/>
    </row>
    <row r="39" spans="1:37" ht="40.25" customHeight="1" thickBot="1" x14ac:dyDescent="0.35">
      <c r="A39" s="2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23"/>
      <c r="M39" s="23"/>
      <c r="N39" s="22"/>
      <c r="O39" s="23"/>
      <c r="P39" s="24"/>
      <c r="Q39" s="24"/>
      <c r="R39" s="24"/>
      <c r="S39" s="24"/>
      <c r="T39" s="135"/>
      <c r="U39" s="32" t="s">
        <v>17</v>
      </c>
      <c r="V39" s="32"/>
      <c r="W39" s="33"/>
      <c r="X39" s="136"/>
      <c r="Y39" s="38">
        <v>2.9166666666666665</v>
      </c>
      <c r="Z39" s="39">
        <v>2.9166666666666665</v>
      </c>
      <c r="AA39" s="39">
        <v>5.875</v>
      </c>
      <c r="AB39" s="39">
        <v>4.75</v>
      </c>
      <c r="AC39" s="39">
        <v>5.083333333333333</v>
      </c>
      <c r="AD39" s="39">
        <v>4.416666666666667</v>
      </c>
      <c r="AE39" s="39">
        <v>5.083333333333333</v>
      </c>
      <c r="AF39" s="39">
        <v>5.083333333333333</v>
      </c>
      <c r="AG39" s="39">
        <v>5.083333333333333</v>
      </c>
      <c r="AH39" s="39"/>
      <c r="AI39" s="39">
        <v>1.4583333333333333</v>
      </c>
      <c r="AJ39" s="203">
        <v>1.9166666666666667</v>
      </c>
      <c r="AK39" s="1"/>
    </row>
    <row r="40" spans="1:37" ht="40.25" customHeight="1" thickBot="1" x14ac:dyDescent="0.35">
      <c r="A40" s="26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28"/>
      <c r="M40" s="28"/>
      <c r="N40" s="27"/>
      <c r="O40" s="28"/>
      <c r="P40" s="29"/>
      <c r="Q40" s="29"/>
      <c r="R40" s="29"/>
      <c r="S40" s="29"/>
      <c r="T40" s="135"/>
      <c r="U40" s="32" t="s">
        <v>18</v>
      </c>
      <c r="V40" s="32"/>
      <c r="W40" s="33"/>
      <c r="X40" s="34"/>
      <c r="Y40" s="137">
        <f t="shared" ref="Y40:AJ40" si="16">Y39-Y32</f>
        <v>1.5666666666666669</v>
      </c>
      <c r="Z40" s="137">
        <f t="shared" si="16"/>
        <v>-0.41666666666666696</v>
      </c>
      <c r="AA40" s="138">
        <f t="shared" si="16"/>
        <v>5.125</v>
      </c>
      <c r="AB40" s="138">
        <f t="shared" si="16"/>
        <v>2.020833333333333</v>
      </c>
      <c r="AC40" s="138">
        <f t="shared" si="16"/>
        <v>1.1875</v>
      </c>
      <c r="AD40" s="138">
        <f t="shared" si="16"/>
        <v>1.125</v>
      </c>
      <c r="AE40" s="138">
        <f t="shared" si="16"/>
        <v>1.375</v>
      </c>
      <c r="AF40" s="138">
        <f t="shared" si="16"/>
        <v>4.0416666666666661</v>
      </c>
      <c r="AG40" s="138">
        <f t="shared" si="16"/>
        <v>2.770833333333333</v>
      </c>
      <c r="AH40" s="138">
        <f t="shared" si="16"/>
        <v>0</v>
      </c>
      <c r="AI40" s="138">
        <f t="shared" ref="AI40" si="17">AI39-AI32</f>
        <v>0.4375</v>
      </c>
      <c r="AJ40" s="139">
        <f t="shared" si="16"/>
        <v>0.47916666666666674</v>
      </c>
      <c r="AK40" s="1"/>
    </row>
    <row r="41" spans="1:37" ht="18" customHeight="1" x14ac:dyDescent="0.3">
      <c r="A41" s="1"/>
      <c r="B41" s="1"/>
      <c r="C41" s="16"/>
      <c r="D41" s="16"/>
      <c r="E41" s="16"/>
      <c r="F41" s="1"/>
      <c r="G41" s="1"/>
      <c r="H41" s="1"/>
      <c r="I41" s="1"/>
      <c r="J41" s="3"/>
      <c r="K41" s="4"/>
      <c r="L41" s="4"/>
      <c r="M41" s="4"/>
      <c r="N41" s="3"/>
      <c r="O41" s="4"/>
      <c r="P41" s="6"/>
      <c r="Q41" s="6"/>
      <c r="R41" s="6"/>
      <c r="S41" s="6"/>
      <c r="T41" s="3"/>
      <c r="U41" s="9"/>
      <c r="V41" s="9"/>
      <c r="W41" s="10"/>
      <c r="X41" s="30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25"/>
    </row>
    <row r="42" spans="1:37" ht="18" customHeight="1" x14ac:dyDescent="0.3">
      <c r="A42" s="239"/>
      <c r="B42" s="239"/>
      <c r="C42" s="239"/>
      <c r="D42" s="239"/>
      <c r="E42" s="239"/>
      <c r="F42" s="240"/>
      <c r="G42" s="241"/>
    </row>
    <row r="43" spans="1:37" ht="18" customHeight="1" x14ac:dyDescent="0.3">
      <c r="A43" s="239"/>
      <c r="B43" s="239"/>
      <c r="C43" s="239"/>
      <c r="D43" s="239"/>
      <c r="E43" s="239"/>
      <c r="F43" s="240"/>
      <c r="G43" s="241"/>
    </row>
  </sheetData>
  <customSheetViews>
    <customSheetView guid="{0BC3303A-329D-40D9-85DF-BD43BA3EA599}" showRuler="0">
      <selection activeCell="N14" sqref="N14"/>
      <pageMargins left="0" right="0" top="0" bottom="0" header="0" footer="0"/>
      <printOptions horizontalCentered="1" verticalCentered="1"/>
      <pageSetup paperSize="9" orientation="portrait" horizontalDpi="300" verticalDpi="300" r:id="rId1"/>
      <headerFooter alignWithMargins="0"/>
    </customSheetView>
    <customSheetView guid="{39A45727-8990-45B9-814F-4AC899DF18A0}">
      <selection activeCell="N14" sqref="N14"/>
      <pageMargins left="0" right="0" top="0" bottom="0" header="0" footer="0"/>
      <printOptions horizontalCentered="1" verticalCentered="1"/>
      <pageSetup paperSize="9" orientation="portrait" horizontalDpi="300" verticalDpi="300" r:id="rId2"/>
      <headerFooter alignWithMargins="0"/>
    </customSheetView>
    <customSheetView guid="{4E1BCABA-455C-4F9D-B9B8-E866F11F31D6}" showRuler="0">
      <selection activeCell="N14" sqref="N14"/>
      <pageMargins left="0" right="0" top="0" bottom="0" header="0" footer="0"/>
      <printOptions horizontalCentered="1" verticalCentered="1"/>
      <pageSetup paperSize="9" orientation="portrait" horizontalDpi="300" verticalDpi="300" r:id="rId3"/>
      <headerFooter alignWithMargins="0"/>
    </customSheetView>
    <customSheetView guid="{4215528C-8293-4CC6-B445-966FE740727C}" showRuler="0">
      <selection activeCell="N14" sqref="N14"/>
      <pageMargins left="0" right="0" top="0" bottom="0" header="0" footer="0"/>
      <printOptions horizontalCentered="1" verticalCentered="1"/>
      <pageSetup paperSize="9" orientation="portrait" horizontalDpi="300" verticalDpi="300" r:id="rId4"/>
      <headerFooter alignWithMargins="0"/>
    </customSheetView>
    <customSheetView guid="{E411C4C0-1CE3-11D3-B04E-52544C16EF5F}" showRuler="0" topLeftCell="A10">
      <selection activeCell="F9" sqref="F9"/>
      <pageMargins left="0" right="0" top="0" bottom="0" header="0" footer="0"/>
      <printOptions horizontalCentered="1" verticalCentered="1"/>
      <pageSetup paperSize="9" orientation="portrait" horizontalDpi="300" verticalDpi="300" r:id="rId5"/>
      <headerFooter alignWithMargins="0"/>
    </customSheetView>
    <customSheetView guid="{6CA16144-D4CF-11D2-B9BE-D753D7629341}" showPageBreaks="1" showRuler="0">
      <selection activeCell="F9" sqref="F9"/>
      <pageMargins left="0" right="0" top="0" bottom="0" header="0" footer="0"/>
      <printOptions horizontalCentered="1" verticalCentered="1"/>
      <pageSetup paperSize="9" orientation="portrait" horizontalDpi="300" verticalDpi="300" r:id="rId6"/>
      <headerFooter alignWithMargins="0"/>
    </customSheetView>
    <customSheetView guid="{35800BA0-EDA0-11D2-961D-52544C16EF5F}" showRuler="0" topLeftCell="A10">
      <selection activeCell="F9" sqref="F9"/>
      <pageMargins left="0" right="0" top="0" bottom="0" header="0" footer="0"/>
      <printOptions horizontalCentered="1" verticalCentered="1"/>
      <pageSetup paperSize="9" orientation="portrait" horizontalDpi="300" verticalDpi="300" r:id="rId7"/>
      <headerFooter alignWithMargins="0"/>
    </customSheetView>
    <customSheetView guid="{F06E5032-145E-4265-B2BD-948E9E7E155C}" showRuler="0">
      <selection activeCell="N14" sqref="N14"/>
      <pageMargins left="0" right="0" top="0" bottom="0" header="0" footer="0"/>
      <printOptions horizontalCentered="1" verticalCentered="1"/>
      <pageSetup paperSize="9" orientation="portrait" horizontalDpi="300" verticalDpi="300" r:id="rId8"/>
      <headerFooter alignWithMargins="0"/>
    </customSheetView>
    <customSheetView guid="{D76CB30D-4ADE-4FA3-B43C-8B37D3120EA4}" showRuler="0">
      <selection activeCell="N14" sqref="N14"/>
      <pageMargins left="0" right="0" top="0" bottom="0" header="0" footer="0"/>
      <printOptions horizontalCentered="1" verticalCentered="1"/>
      <pageSetup paperSize="9" orientation="portrait" horizontalDpi="300" verticalDpi="300" r:id="rId9"/>
      <headerFooter alignWithMargins="0"/>
    </customSheetView>
    <customSheetView guid="{9A72DB26-B0B3-4A66-A632-45F702FFF812}" showPageBreaks="1">
      <selection activeCell="N14" sqref="N14"/>
      <pageMargins left="0" right="0" top="0" bottom="0" header="0" footer="0"/>
      <printOptions horizontalCentered="1" verticalCentered="1"/>
      <pageSetup paperSize="9" orientation="portrait" horizontalDpi="300" verticalDpi="300" r:id="rId10"/>
      <headerFooter alignWithMargins="0"/>
    </customSheetView>
    <customSheetView guid="{90FA6A75-3D21-4A0C-B4B9-1F59C964FE85}" showPageBreaks="1" showRuler="0">
      <selection activeCell="N14" sqref="N14"/>
      <pageMargins left="0" right="0" top="0" bottom="0" header="0" footer="0"/>
      <printOptions horizontalCentered="1" verticalCentered="1"/>
      <pageSetup paperSize="9" orientation="portrait" horizontalDpi="300" verticalDpi="300" r:id="rId11"/>
      <headerFooter alignWithMargins="0"/>
    </customSheetView>
  </customSheetViews>
  <mergeCells count="12">
    <mergeCell ref="X1:X2"/>
    <mergeCell ref="X3:X31"/>
    <mergeCell ref="T23:T24"/>
    <mergeCell ref="T30:T31"/>
    <mergeCell ref="A1:N1"/>
    <mergeCell ref="A2:N2"/>
    <mergeCell ref="T9:T10"/>
    <mergeCell ref="T16:T17"/>
    <mergeCell ref="R9:R10"/>
    <mergeCell ref="R16:R17"/>
    <mergeCell ref="R23:R24"/>
    <mergeCell ref="R30:R31"/>
  </mergeCells>
  <phoneticPr fontId="0" type="noConversion"/>
  <printOptions horizontalCentered="1" verticalCentered="1"/>
  <pageMargins left="0.27559055118110237" right="0.27559055118110237" top="0.23622047244094491" bottom="0.23622047244094491" header="0.23622047244094491" footer="0.23622047244094491"/>
  <pageSetup paperSize="9" orientation="portrait" horizontalDpi="300" verticalDpi="300" r:id="rId1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F1749080116E47BF8975521AF46C0A" ma:contentTypeVersion="26" ma:contentTypeDescription="Een nieuw document maken." ma:contentTypeScope="" ma:versionID="f0f4af94480937b7d391590dea1619ff">
  <xsd:schema xmlns:xsd="http://www.w3.org/2001/XMLSchema" xmlns:xs="http://www.w3.org/2001/XMLSchema" xmlns:p="http://schemas.microsoft.com/office/2006/metadata/properties" xmlns:ns2="c5b066ce-f376-4aad-b271-a065f075dd8c" xmlns:ns3="328343f6-5f9d-442c-a372-f61081f6d80d" targetNamespace="http://schemas.microsoft.com/office/2006/metadata/properties" ma:root="true" ma:fieldsID="be65adc92513d8c07604b82732983e3b" ns2:_="" ns3:_="">
    <xsd:import namespace="c5b066ce-f376-4aad-b271-a065f075dd8c"/>
    <xsd:import namespace="328343f6-5f9d-442c-a372-f61081f6d8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_Flow_SignoffStatu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066ce-f376-4aad-b271-a065f075d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9" nillable="true" ma:displayName="Afmeldingsstatus" ma:internalName="Afmeldingsstatus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Afbeeldingtags" ma:readOnly="false" ma:fieldId="{5cf76f15-5ced-4ddc-b409-7134ff3c332f}" ma:taxonomyMulti="true" ma:sspId="c65b3a0b-589f-417d-9385-9ab02f7739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343f6-5f9d-442c-a372-f61081f6d80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e8bf345-a7a4-4502-87e5-876e45967d34}" ma:internalName="TaxCatchAll" ma:showField="CatchAllData" ma:web="328343f6-5f9d-442c-a372-f61081f6d8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328343f6-5f9d-442c-a372-f61081f6d80d">
      <UserInfo>
        <DisplayName>Wendy Stroobants</DisplayName>
        <AccountId>14</AccountId>
        <AccountType/>
      </UserInfo>
      <UserInfo>
        <DisplayName>Aurelie De Cat</DisplayName>
        <AccountId>91</AccountId>
        <AccountType/>
      </UserInfo>
      <UserInfo>
        <DisplayName>Stagiair Studio3</DisplayName>
        <AccountId>15</AccountId>
        <AccountType/>
      </UserInfo>
      <UserInfo>
        <DisplayName>Yamina Zahi</DisplayName>
        <AccountId>20</AccountId>
        <AccountType/>
      </UserInfo>
      <UserInfo>
        <DisplayName>Margo Vanden Bosch</DisplayName>
        <AccountId>17</AccountId>
        <AccountType/>
      </UserInfo>
      <UserInfo>
        <DisplayName>Vincent Schelfhaut</DisplayName>
        <AccountId>18</AccountId>
        <AccountType/>
      </UserInfo>
      <UserInfo>
        <DisplayName>Bo Bogaert</DisplayName>
        <AccountId>21</AccountId>
        <AccountType/>
      </UserInfo>
      <UserInfo>
        <DisplayName>Klara Vandevijver</DisplayName>
        <AccountId>39</AccountId>
        <AccountType/>
      </UserInfo>
      <UserInfo>
        <DisplayName>Kevin Gerits</DisplayName>
        <AccountId>16</AccountId>
        <AccountType/>
      </UserInfo>
      <UserInfo>
        <DisplayName>Laure Beeckmans</DisplayName>
        <AccountId>57</AccountId>
        <AccountType/>
      </UserInfo>
      <UserInfo>
        <DisplayName>Jonas Hermans</DisplayName>
        <AccountId>96</AccountId>
        <AccountType/>
      </UserInfo>
      <UserInfo>
        <DisplayName>Saartje Vandermosten</DisplayName>
        <AccountId>22</AccountId>
        <AccountType/>
      </UserInfo>
      <UserInfo>
        <DisplayName>Yara Debroux</DisplayName>
        <AccountId>59</AccountId>
        <AccountType/>
      </UserInfo>
      <UserInfo>
        <DisplayName>Studio3</DisplayName>
        <AccountId>94</AccountId>
        <AccountType/>
      </UserInfo>
      <UserInfo>
        <DisplayName>Martine Van Mellaert</DisplayName>
        <AccountId>69</AccountId>
        <AccountType/>
      </UserInfo>
      <UserInfo>
        <DisplayName>Mariama Diallo</DisplayName>
        <AccountId>93</AccountId>
        <AccountType/>
      </UserInfo>
      <UserInfo>
        <DisplayName>Nessa Ahoua</DisplayName>
        <AccountId>142</AccountId>
        <AccountType/>
      </UserInfo>
      <UserInfo>
        <DisplayName>Axelle Lescrauwaet</DisplayName>
        <AccountId>66</AccountId>
        <AccountType/>
      </UserInfo>
      <UserInfo>
        <DisplayName>Ariana Palombo</DisplayName>
        <AccountId>73</AccountId>
        <AccountType/>
      </UserInfo>
      <UserInfo>
        <DisplayName>Lotte Torfs</DisplayName>
        <AccountId>80</AccountId>
        <AccountType/>
      </UserInfo>
      <UserInfo>
        <DisplayName>Julie Piron</DisplayName>
        <AccountId>41</AccountId>
        <AccountType/>
      </UserInfo>
      <UserInfo>
        <DisplayName>Rien Geradin</DisplayName>
        <AccountId>85</AccountId>
        <AccountType/>
      </UserInfo>
      <UserInfo>
        <DisplayName>Chloë Goris</DisplayName>
        <AccountId>79</AccountId>
        <AccountType/>
      </UserInfo>
      <UserInfo>
        <DisplayName>Katrien Schoonheydt</DisplayName>
        <AccountId>43</AccountId>
        <AccountType/>
      </UserInfo>
      <UserInfo>
        <DisplayName>Annabel Gevers</DisplayName>
        <AccountId>88</AccountId>
        <AccountType/>
      </UserInfo>
      <UserInfo>
        <DisplayName>Serafien De Smet</DisplayName>
        <AccountId>235</AccountId>
        <AccountType/>
      </UserInfo>
      <UserInfo>
        <DisplayName>Evie Janssens</DisplayName>
        <AccountId>257</AccountId>
        <AccountType/>
      </UserInfo>
      <UserInfo>
        <DisplayName>Nele Prevost</DisplayName>
        <AccountId>264</AccountId>
        <AccountType/>
      </UserInfo>
      <UserInfo>
        <DisplayName>Jade Eijckmans</DisplayName>
        <AccountId>269</AccountId>
        <AccountType/>
      </UserInfo>
      <UserInfo>
        <DisplayName>Klimop</DisplayName>
        <AccountId>89</AccountId>
        <AccountType/>
      </UserInfo>
      <UserInfo>
        <DisplayName>Hilde Frederickx</DisplayName>
        <AccountId>53</AccountId>
        <AccountType/>
      </UserInfo>
      <UserInfo>
        <DisplayName>Lilith Van Duppen</DisplayName>
        <AccountId>52</AccountId>
        <AccountType/>
      </UserInfo>
      <UserInfo>
        <DisplayName>Stijn Mertens</DisplayName>
        <AccountId>49</AccountId>
        <AccountType/>
      </UserInfo>
      <UserInfo>
        <DisplayName>Laura Geerits</DisplayName>
        <AccountId>44</AccountId>
        <AccountType/>
      </UserInfo>
      <UserInfo>
        <DisplayName>Sarah El Haddad</DisplayName>
        <AccountId>42</AccountId>
        <AccountType/>
      </UserInfo>
      <UserInfo>
        <DisplayName>Gwenalyn Geeraert</DisplayName>
        <AccountId>46</AccountId>
        <AccountType/>
      </UserInfo>
      <UserInfo>
        <DisplayName>Lise Leblicq</DisplayName>
        <AccountId>40</AccountId>
        <AccountType/>
      </UserInfo>
      <UserInfo>
        <DisplayName>Leila Thaets</DisplayName>
        <AccountId>75</AccountId>
        <AccountType/>
      </UserInfo>
      <UserInfo>
        <DisplayName>Elien Denies</DisplayName>
        <AccountId>202</AccountId>
        <AccountType/>
      </UserInfo>
      <UserInfo>
        <DisplayName>Céline Vriamont</DisplayName>
        <AccountId>246</AccountId>
        <AccountType/>
      </UserInfo>
      <UserInfo>
        <DisplayName>Isabelle Mathot</DisplayName>
        <AccountId>259</AccountId>
        <AccountType/>
      </UserInfo>
      <UserInfo>
        <DisplayName>Evelien Smets</DisplayName>
        <AccountId>260</AccountId>
        <AccountType/>
      </UserInfo>
      <UserInfo>
        <DisplayName>Lara Stuckens</DisplayName>
        <AccountId>262</AccountId>
        <AccountType/>
      </UserInfo>
      <UserInfo>
        <DisplayName>Jolien Vandeplas</DisplayName>
        <AccountId>270</AccountId>
        <AccountType/>
      </UserInfo>
      <UserInfo>
        <DisplayName>Steve Van de Velde</DisplayName>
        <AccountId>37</AccountId>
        <AccountType/>
      </UserInfo>
      <UserInfo>
        <DisplayName>Pijl</DisplayName>
        <AccountId>95</AccountId>
        <AccountType/>
      </UserInfo>
      <UserInfo>
        <DisplayName>Ruth Diederichs</DisplayName>
        <AccountId>58</AccountId>
        <AccountType/>
      </UserInfo>
      <UserInfo>
        <DisplayName>Jan De Becker</DisplayName>
        <AccountId>50</AccountId>
        <AccountType/>
      </UserInfo>
      <UserInfo>
        <DisplayName>Karima Amezian</DisplayName>
        <AccountId>55</AccountId>
        <AccountType/>
      </UserInfo>
      <UserInfo>
        <DisplayName>Pauline De Wulf</DisplayName>
        <AccountId>38</AccountId>
        <AccountType/>
      </UserInfo>
      <UserInfo>
        <DisplayName>Sanne Wouters</DisplayName>
        <AccountId>56</AccountId>
        <AccountType/>
      </UserInfo>
      <UserInfo>
        <DisplayName>Lore De Cooman</DisplayName>
        <AccountId>45</AccountId>
        <AccountType/>
      </UserInfo>
      <UserInfo>
        <DisplayName>Emily Willems</DisplayName>
        <AccountId>255</AccountId>
        <AccountType/>
      </UserInfo>
      <UserInfo>
        <DisplayName>Magali Vloeberghs</DisplayName>
        <AccountId>182</AccountId>
        <AccountType/>
      </UserInfo>
      <UserInfo>
        <DisplayName>Ymke Dehon</DisplayName>
        <AccountId>243</AccountId>
        <AccountType/>
      </UserInfo>
      <UserInfo>
        <DisplayName>Tessa Armour</DisplayName>
        <AccountId>256</AccountId>
        <AccountType/>
      </UserInfo>
      <UserInfo>
        <DisplayName>Laura Bandinelli</DisplayName>
        <AccountId>261</AccountId>
        <AccountType/>
      </UserInfo>
      <UserInfo>
        <DisplayName>Sandra Buve</DisplayName>
        <AccountId>51</AccountId>
        <AccountType/>
      </UserInfo>
      <UserInfo>
        <DisplayName>Ellen Vanophalvens</DisplayName>
        <AccountId>12</AccountId>
        <AccountType/>
      </UserInfo>
      <UserInfo>
        <DisplayName>Jean Meers</DisplayName>
        <AccountId>217</AccountId>
        <AccountType/>
      </UserInfo>
      <UserInfo>
        <DisplayName>Sebbe Dupon</DisplayName>
        <AccountId>233</AccountId>
        <AccountType/>
      </UserInfo>
    </SharedWithUsers>
    <_Flow_SignoffStatus xmlns="c5b066ce-f376-4aad-b271-a065f075dd8c" xsi:nil="true"/>
    <TaxCatchAll xmlns="328343f6-5f9d-442c-a372-f61081f6d80d" xsi:nil="true"/>
    <lcf76f155ced4ddcb4097134ff3c332f xmlns="c5b066ce-f376-4aad-b271-a065f075dd8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BE02C1-3D21-4DC0-A56D-A978EF9430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b066ce-f376-4aad-b271-a065f075dd8c"/>
    <ds:schemaRef ds:uri="328343f6-5f9d-442c-a372-f61081f6d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3388CB-2CE3-4BD2-BD27-EC052BF746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57C079-0140-4ECE-8847-12DDBD1EED14}">
  <ds:schemaRefs>
    <ds:schemaRef ds:uri="http://schemas.microsoft.com/office/2006/metadata/properties"/>
    <ds:schemaRef ds:uri="http://www.w3.org/2000/xmlns/"/>
    <ds:schemaRef ds:uri="328343f6-5f9d-442c-a372-f61081f6d80d"/>
    <ds:schemaRef ds:uri="c5b066ce-f376-4aad-b271-a065f075dd8c"/>
    <ds:schemaRef ds:uri="http://www.w3.org/2001/XMLSchema-instance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3</vt:i4>
      </vt:variant>
      <vt:variant>
        <vt:lpstr>Benoemde bereiken</vt:lpstr>
      </vt:variant>
      <vt:variant>
        <vt:i4>1</vt:i4>
      </vt:variant>
    </vt:vector>
  </HeadingPairs>
  <TitlesOfParts>
    <vt:vector size="4" baseType="lpstr">
      <vt:lpstr>PIJL</vt:lpstr>
      <vt:lpstr>ST3</vt:lpstr>
      <vt:lpstr>KLIMOP</vt:lpstr>
      <vt:lpstr>'ST3'!Afdrukbereik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Jeugdoase VZW</dc:creator>
  <cp:keywords/>
  <dc:description/>
  <cp:lastModifiedBy>Ronnie Spoelstra</cp:lastModifiedBy>
  <cp:revision/>
  <cp:lastPrinted>2025-11-10T13:07:44Z</cp:lastPrinted>
  <dcterms:created xsi:type="dcterms:W3CDTF">1999-02-07T16:00:37Z</dcterms:created>
  <dcterms:modified xsi:type="dcterms:W3CDTF">2026-02-04T10:59:01Z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0x010100C9F1749080116E47BF8975521AF46C0A</vt:lpwstr>
  </property>
  <property fmtid="{D5CDD505-2E9C-101B-9397-08002B2CF9AE}" pid="3" name="Order">
    <vt:r8>2400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MediaServiceImageTags">
    <vt:lpwstr/>
  </property>
</Properties>
</file>